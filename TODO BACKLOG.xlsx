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</font>
    <font>
      <name val="Arial"/>
      <b val="1"/>
    </font>
    <font>
      <name val="Arial"/>
      <i val="1"/>
      <color rgb="00808080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4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10">
    <dxf>
      <font>
        <name val="Arial"/>
        <color rgb="00808080"/>
      </font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acklog" displayName="Backlog" ref="A1:K178" headerRowCount="1">
  <autoFilter ref="A1:K178"/>
  <tableColumns count="11">
    <tableColumn id="1" name="ID"/>
    <tableColumn id="2" name="Parent"/>
    <tableColumn id="3" name="Task"/>
    <tableColumn id="4" name="Mod"/>
    <tableColumn id="5" name="System"/>
    <tableColumn id="6" name="Type"/>
    <tableColumn id="7" name="Priority"/>
    <tableColumn id="8" name="Status"/>
    <tableColumn id="9" name="Effort"/>
    <tableColumn id="10" name="Original section"/>
    <tableColumn id="11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18" customWidth="1" min="4" max="4"/>
    <col width="18" customWidth="1" min="5" max="5"/>
    <col width="14" customWidth="1" min="6" max="6"/>
    <col width="9" customWidth="1" min="7" max="7"/>
    <col width="14" customWidth="1" min="8" max="8"/>
    <col width="9" customWidth="1" min="9" max="9"/>
    <col width="24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Task</t>
        </is>
      </c>
      <c r="D1" s="1" t="inlineStr">
        <is>
          <t>Mod</t>
        </is>
      </c>
      <c r="E1" s="1" t="inlineStr">
        <is>
          <t>System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Effort</t>
        </is>
      </c>
      <c r="J1" s="1" t="inlineStr">
        <is>
          <t>Original section</t>
        </is>
      </c>
      <c r="K1" s="1" t="inlineStr">
        <is>
          <t>Notes</t>
        </is>
      </c>
    </row>
    <row r="2">
      <c r="A2" s="2" t="inlineStr">
        <is>
          <t>T-001</t>
        </is>
      </c>
      <c r="B2" s="2" t="inlineStr"/>
      <c r="C2" s="3" t="inlineStr">
        <is>
          <t>Operation to gather herbs automatically</t>
        </is>
      </c>
      <c r="D2" s="2" t="inlineStr">
        <is>
          <t>GBO3</t>
        </is>
      </c>
      <c r="E2" s="2" t="inlineStr">
        <is>
          <t>Operations</t>
        </is>
      </c>
      <c r="F2" s="2" t="inlineStr">
        <is>
          <t>Feature</t>
        </is>
      </c>
      <c r="G2" s="2" t="inlineStr">
        <is>
          <t>P3</t>
        </is>
      </c>
      <c r="H2" s="2" t="inlineStr">
        <is>
          <t>Open</t>
        </is>
      </c>
      <c r="I2" s="4" t="inlineStr"/>
      <c r="J2" s="2" t="inlineStr">
        <is>
          <t>Unsorted</t>
        </is>
      </c>
      <c r="K2" s="3" t="inlineStr"/>
    </row>
    <row r="3">
      <c r="A3" s="2" t="inlineStr">
        <is>
          <t>T-002</t>
        </is>
      </c>
      <c r="B3" s="2" t="inlineStr"/>
      <c r="C3" s="3" t="inlineStr">
        <is>
          <t>Review no-stock aim penalty: no-stock SMGs struggle to out-aim pistols</t>
        </is>
      </c>
      <c r="D3" s="2" t="inlineStr">
        <is>
          <t>GBO3</t>
        </is>
      </c>
      <c r="E3" s="2" t="inlineStr">
        <is>
          <t>Weapons</t>
        </is>
      </c>
      <c r="F3" s="2" t="inlineStr">
        <is>
          <t>Balance</t>
        </is>
      </c>
      <c r="G3" s="2" t="inlineStr">
        <is>
          <t>P2</t>
        </is>
      </c>
      <c r="H3" s="2" t="inlineStr">
        <is>
          <t>Open</t>
        </is>
      </c>
      <c r="I3" s="4" t="inlineStr"/>
      <c r="J3" s="2" t="inlineStr">
        <is>
          <t>Unsorted</t>
        </is>
      </c>
      <c r="K3" s="3" t="inlineStr"/>
    </row>
    <row r="4">
      <c r="A4" s="2" t="inlineStr">
        <is>
          <t>T-003</t>
        </is>
      </c>
      <c r="B4" s="2" t="inlineStr"/>
      <c r="C4" s="3" t="inlineStr">
        <is>
          <t>Overwatch against doors</t>
        </is>
      </c>
      <c r="D4" s="2" t="inlineStr">
        <is>
          <t>AI Overhaul</t>
        </is>
      </c>
      <c r="E4" s="2" t="inlineStr">
        <is>
          <t>AI Behavior</t>
        </is>
      </c>
      <c r="F4" s="2" t="inlineStr">
        <is>
          <t>Feature</t>
        </is>
      </c>
      <c r="G4" s="2" t="inlineStr">
        <is>
          <t>P2</t>
        </is>
      </c>
      <c r="H4" s="2" t="inlineStr">
        <is>
          <t>Open</t>
        </is>
      </c>
      <c r="I4" s="4" t="inlineStr"/>
      <c r="J4" s="2" t="inlineStr">
        <is>
          <t>AI new stuff</t>
        </is>
      </c>
      <c r="K4" s="3" t="inlineStr"/>
    </row>
    <row r="5">
      <c r="A5" s="2" t="inlineStr">
        <is>
          <t>T-004</t>
        </is>
      </c>
      <c r="B5" s="2" t="inlineStr"/>
      <c r="C5" s="3" t="inlineStr">
        <is>
          <t>Enemy leaving view should not reveal its position to the player</t>
        </is>
      </c>
      <c r="D5" s="2" t="inlineStr">
        <is>
          <t>AI Overhaul</t>
        </is>
      </c>
      <c r="E5" s="2" t="inlineStr">
        <is>
          <t>Visibility</t>
        </is>
      </c>
      <c r="F5" s="2" t="inlineStr">
        <is>
          <t>Feature</t>
        </is>
      </c>
      <c r="G5" s="2" t="inlineStr">
        <is>
          <t>P2</t>
        </is>
      </c>
      <c r="H5" s="2" t="inlineStr">
        <is>
          <t>Open</t>
        </is>
      </c>
      <c r="I5" s="4" t="inlineStr"/>
      <c r="J5" s="2" t="inlineStr">
        <is>
          <t>AI new stuff</t>
        </is>
      </c>
      <c r="K5" s="3" t="inlineStr">
        <is>
          <t>Mod assignment uncertain (could be GBO3)</t>
        </is>
      </c>
    </row>
    <row r="6">
      <c r="A6" s="2" t="inlineStr">
        <is>
          <t>T-005</t>
        </is>
      </c>
      <c r="B6" s="2" t="inlineStr"/>
      <c r="C6" s="3" t="inlineStr">
        <is>
          <t>AP check so autofire is selectable when merc can fire 2 bullets</t>
        </is>
      </c>
      <c r="D6" s="2" t="inlineStr">
        <is>
          <t>GBO3</t>
        </is>
      </c>
      <c r="E6" s="2" t="inlineStr">
        <is>
          <t>Fire Modes</t>
        </is>
      </c>
      <c r="F6" s="2" t="inlineStr">
        <is>
          <t>Feature</t>
        </is>
      </c>
      <c r="G6" s="2" t="inlineStr">
        <is>
          <t>P2</t>
        </is>
      </c>
      <c r="H6" s="2" t="inlineStr">
        <is>
          <t>Done</t>
        </is>
      </c>
      <c r="I6" s="4" t="inlineStr"/>
      <c r="J6" s="2" t="inlineStr">
        <is>
          <t>Fire modes</t>
        </is>
      </c>
      <c r="K6" s="3" t="inlineStr"/>
    </row>
    <row r="7">
      <c r="A7" s="2" t="inlineStr">
        <is>
          <t>T-006</t>
        </is>
      </c>
      <c r="B7" s="2" t="inlineStr"/>
      <c r="C7" s="3" t="inlineStr">
        <is>
          <t>Maybe change HK receiver effect for clarity</t>
        </is>
      </c>
      <c r="D7" s="2" t="inlineStr">
        <is>
          <t>GBO3</t>
        </is>
      </c>
      <c r="E7" s="2" t="inlineStr">
        <is>
          <t>Components</t>
        </is>
      </c>
      <c r="F7" s="2" t="inlineStr">
        <is>
          <t>UX</t>
        </is>
      </c>
      <c r="G7" s="2" t="inlineStr">
        <is>
          <t>P3</t>
        </is>
      </c>
      <c r="H7" s="2" t="inlineStr">
        <is>
          <t>Open</t>
        </is>
      </c>
      <c r="I7" s="4" t="inlineStr"/>
      <c r="J7" s="2" t="inlineStr">
        <is>
          <t>Fire modes</t>
        </is>
      </c>
      <c r="K7" s="3" t="inlineStr"/>
    </row>
    <row r="8">
      <c r="A8" s="2" t="inlineStr">
        <is>
          <t>T-007</t>
        </is>
      </c>
      <c r="B8" s="2" t="inlineStr"/>
      <c r="C8" s="3" t="inlineStr">
        <is>
          <t>Selective burst on HK21 and other MGs that have it</t>
        </is>
      </c>
      <c r="D8" s="2" t="inlineStr">
        <is>
          <t>GBO3</t>
        </is>
      </c>
      <c r="E8" s="2" t="inlineStr">
        <is>
          <t>Fire Modes</t>
        </is>
      </c>
      <c r="F8" s="2" t="inlineStr">
        <is>
          <t>Feature</t>
        </is>
      </c>
      <c r="G8" s="2" t="inlineStr">
        <is>
          <t>P2</t>
        </is>
      </c>
      <c r="H8" s="2" t="inlineStr">
        <is>
          <t>Open</t>
        </is>
      </c>
      <c r="I8" s="4" t="inlineStr"/>
      <c r="J8" s="2" t="inlineStr">
        <is>
          <t>Fire modes</t>
        </is>
      </c>
      <c r="K8" s="3" t="inlineStr"/>
    </row>
    <row r="9">
      <c r="A9" s="2" t="inlineStr">
        <is>
          <t>T-008</t>
        </is>
      </c>
      <c r="B9" s="2" t="inlineStr"/>
      <c r="C9" s="3" t="inlineStr">
        <is>
          <t>MG description hints not showing ROF</t>
        </is>
      </c>
      <c r="D9" s="2" t="inlineStr">
        <is>
          <t>GBO3</t>
        </is>
      </c>
      <c r="E9" s="2" t="inlineStr">
        <is>
          <t>UI &amp; Descriptions</t>
        </is>
      </c>
      <c r="F9" s="2" t="inlineStr">
        <is>
          <t>Bug</t>
        </is>
      </c>
      <c r="G9" s="2" t="inlineStr">
        <is>
          <t>P2</t>
        </is>
      </c>
      <c r="H9" s="2" t="inlineStr">
        <is>
          <t>Done</t>
        </is>
      </c>
      <c r="I9" s="4" t="inlineStr"/>
      <c r="J9" s="2" t="inlineStr">
        <is>
          <t>Fire modes</t>
        </is>
      </c>
      <c r="K9" s="3" t="inlineStr"/>
    </row>
    <row r="10">
      <c r="A10" s="2" t="inlineStr">
        <is>
          <t>T-009</t>
        </is>
      </c>
      <c r="B10" s="2" t="inlineStr"/>
      <c r="C10" s="3" t="inlineStr">
        <is>
          <t>Recoil booster</t>
        </is>
      </c>
      <c r="D10" s="2" t="inlineStr">
        <is>
          <t>GBO3</t>
        </is>
      </c>
      <c r="E10" s="2" t="inlineStr">
        <is>
          <t>Components</t>
        </is>
      </c>
      <c r="F10" s="2" t="inlineStr">
        <is>
          <t>Feature</t>
        </is>
      </c>
      <c r="G10" s="2" t="inlineStr">
        <is>
          <t>P2</t>
        </is>
      </c>
      <c r="H10" s="2" t="inlineStr">
        <is>
          <t>Done</t>
        </is>
      </c>
      <c r="I10" s="4" t="inlineStr"/>
      <c r="J10" s="2" t="inlineStr">
        <is>
          <t>Fire modes</t>
        </is>
      </c>
      <c r="K10" s="3" t="inlineStr"/>
    </row>
    <row r="11">
      <c r="A11" s="2" t="inlineStr">
        <is>
          <t>T-010</t>
        </is>
      </c>
      <c r="B11" s="2" t="inlineStr"/>
      <c r="C11" s="3" t="inlineStr">
        <is>
          <t>Adjust MG 58 RPM</t>
        </is>
      </c>
      <c r="D11" s="2" t="inlineStr">
        <is>
          <t>GBO3</t>
        </is>
      </c>
      <c r="E11" s="2" t="inlineStr">
        <is>
          <t>Fire Modes</t>
        </is>
      </c>
      <c r="F11" s="2" t="inlineStr">
        <is>
          <t>Balance</t>
        </is>
      </c>
      <c r="G11" s="2" t="inlineStr">
        <is>
          <t>P2</t>
        </is>
      </c>
      <c r="H11" s="2" t="inlineStr">
        <is>
          <t>Done</t>
        </is>
      </c>
      <c r="I11" s="4" t="inlineStr"/>
      <c r="J11" s="2" t="inlineStr">
        <is>
          <t>Fire modes</t>
        </is>
      </c>
      <c r="K11" s="3" t="inlineStr"/>
    </row>
    <row r="12">
      <c r="A12" s="2" t="inlineStr">
        <is>
          <t>T-011</t>
        </is>
      </c>
      <c r="B12" s="2" t="inlineStr"/>
      <c r="C12" s="3" t="inlineStr">
        <is>
          <t>Investigate burst fire AP or RPM</t>
        </is>
      </c>
      <c r="D12" s="2" t="inlineStr">
        <is>
          <t>GBO3</t>
        </is>
      </c>
      <c r="E12" s="2" t="inlineStr">
        <is>
          <t>Fire Modes</t>
        </is>
      </c>
      <c r="F12" s="2" t="inlineStr">
        <is>
          <t>Investigation</t>
        </is>
      </c>
      <c r="G12" s="2" t="inlineStr">
        <is>
          <t>P2</t>
        </is>
      </c>
      <c r="H12" s="2" t="inlineStr">
        <is>
          <t>Done</t>
        </is>
      </c>
      <c r="I12" s="4" t="inlineStr"/>
      <c r="J12" s="2" t="inlineStr">
        <is>
          <t>Fire modes</t>
        </is>
      </c>
      <c r="K12" s="3" t="inlineStr"/>
    </row>
    <row r="13">
      <c r="A13" s="2" t="inlineStr">
        <is>
          <t>T-012</t>
        </is>
      </c>
      <c r="B13" s="2" t="inlineStr"/>
      <c r="C13" s="3" t="inlineStr">
        <is>
          <t>Solve the AKSU reliability dilemma</t>
        </is>
      </c>
      <c r="D13" s="2" t="inlineStr">
        <is>
          <t>GBO3</t>
        </is>
      </c>
      <c r="E13" s="2" t="inlineStr">
        <is>
          <t>Weapons</t>
        </is>
      </c>
      <c r="F13" s="2" t="inlineStr">
        <is>
          <t>Balance</t>
        </is>
      </c>
      <c r="G13" s="2" t="inlineStr">
        <is>
          <t>P2</t>
        </is>
      </c>
      <c r="H13" s="2" t="inlineStr">
        <is>
          <t>Open</t>
        </is>
      </c>
      <c r="I13" s="4" t="inlineStr"/>
      <c r="J13" s="2" t="inlineStr">
        <is>
          <t>Fire modes</t>
        </is>
      </c>
      <c r="K13" s="3" t="inlineStr"/>
    </row>
    <row r="14">
      <c r="A14" s="2" t="inlineStr">
        <is>
          <t>T-013</t>
        </is>
      </c>
      <c r="B14" s="2" t="inlineStr"/>
      <c r="C14" s="3" t="inlineStr">
        <is>
          <t>Better crit scaling for selective burst</t>
        </is>
      </c>
      <c r="D14" s="2" t="inlineStr">
        <is>
          <t>GBO3</t>
        </is>
      </c>
      <c r="E14" s="2" t="inlineStr">
        <is>
          <t>Fire Modes</t>
        </is>
      </c>
      <c r="F14" s="2" t="inlineStr">
        <is>
          <t>Balance</t>
        </is>
      </c>
      <c r="G14" s="2" t="inlineStr">
        <is>
          <t>P2</t>
        </is>
      </c>
      <c r="H14" s="2" t="inlineStr">
        <is>
          <t>Done</t>
        </is>
      </c>
      <c r="I14" s="4" t="inlineStr"/>
      <c r="J14" s="2" t="inlineStr">
        <is>
          <t>Fire modes</t>
        </is>
      </c>
      <c r="K14" s="3" t="inlineStr"/>
    </row>
    <row r="15">
      <c r="A15" s="2" t="inlineStr">
        <is>
          <t>T-014</t>
        </is>
      </c>
      <c r="B15" s="2" t="inlineStr"/>
      <c r="C15" s="3" t="inlineStr">
        <is>
          <t>Psycho trait</t>
        </is>
      </c>
      <c r="D15" s="2" t="inlineStr">
        <is>
          <t>GBO3</t>
        </is>
      </c>
      <c r="E15" s="2" t="inlineStr">
        <is>
          <t>Perks &amp; Traits</t>
        </is>
      </c>
      <c r="F15" s="2" t="inlineStr">
        <is>
          <t>Feature</t>
        </is>
      </c>
      <c r="G15" s="2" t="inlineStr">
        <is>
          <t>P2</t>
        </is>
      </c>
      <c r="H15" s="2" t="inlineStr">
        <is>
          <t>Open</t>
        </is>
      </c>
      <c r="I15" s="4" t="inlineStr"/>
      <c r="J15" s="2" t="inlineStr">
        <is>
          <t>Fire modes</t>
        </is>
      </c>
      <c r="K15" s="3" t="inlineStr">
        <is>
          <t>Scope not specified in original</t>
        </is>
      </c>
    </row>
    <row r="16">
      <c r="A16" s="2" t="inlineStr">
        <is>
          <t>T-015</t>
        </is>
      </c>
      <c r="B16" s="2" t="inlineStr"/>
      <c r="C16" s="3" t="inlineStr">
        <is>
          <t>MG higher base AP cost?</t>
        </is>
      </c>
      <c r="D16" s="2" t="inlineStr">
        <is>
          <t>GBO3</t>
        </is>
      </c>
      <c r="E16" s="2" t="inlineStr">
        <is>
          <t>AP Economy</t>
        </is>
      </c>
      <c r="F16" s="2" t="inlineStr">
        <is>
          <t>Balance</t>
        </is>
      </c>
      <c r="G16" s="2" t="inlineStr">
        <is>
          <t>P3</t>
        </is>
      </c>
      <c r="H16" s="2" t="inlineStr">
        <is>
          <t>Proposal</t>
        </is>
      </c>
      <c r="I16" s="4" t="inlineStr"/>
      <c r="J16" s="2" t="inlineStr">
        <is>
          <t>Fire modes</t>
        </is>
      </c>
      <c r="K16" s="3" t="inlineStr"/>
    </row>
    <row r="17">
      <c r="A17" s="2" t="inlineStr">
        <is>
          <t>T-016</t>
        </is>
      </c>
      <c r="B17" s="2" t="inlineStr"/>
      <c r="C17" s="3" t="inlineStr">
        <is>
          <t>Mouseover showing how many attacks fit at a position (stance, aim) given fractional AP</t>
        </is>
      </c>
      <c r="D17" s="2" t="inlineStr">
        <is>
          <t>GBO3</t>
        </is>
      </c>
      <c r="E17" s="2" t="inlineStr">
        <is>
          <t>UI &amp; Descriptions</t>
        </is>
      </c>
      <c r="F17" s="2" t="inlineStr">
        <is>
          <t>UX</t>
        </is>
      </c>
      <c r="G17" s="2" t="inlineStr">
        <is>
          <t>P2</t>
        </is>
      </c>
      <c r="H17" s="2" t="inlineStr">
        <is>
          <t>Open</t>
        </is>
      </c>
      <c r="I17" s="4" t="inlineStr"/>
      <c r="J17" s="2" t="inlineStr">
        <is>
          <t>UI</t>
        </is>
      </c>
      <c r="K17" s="3" t="inlineStr"/>
    </row>
    <row r="18">
      <c r="A18" s="2" t="inlineStr">
        <is>
          <t>T-017</t>
        </is>
      </c>
      <c r="B18" s="2" t="inlineStr"/>
      <c r="C18" s="3" t="inlineStr">
        <is>
          <t>Burst weapon AP shows a stale number</t>
        </is>
      </c>
      <c r="D18" s="2" t="inlineStr">
        <is>
          <t>GBO3</t>
        </is>
      </c>
      <c r="E18" s="2" t="inlineStr">
        <is>
          <t>UI &amp; Descriptions</t>
        </is>
      </c>
      <c r="F18" s="2" t="inlineStr">
        <is>
          <t>Bug</t>
        </is>
      </c>
      <c r="G18" s="2" t="inlineStr">
        <is>
          <t>P1</t>
        </is>
      </c>
      <c r="H18" s="2" t="inlineStr">
        <is>
          <t>Open</t>
        </is>
      </c>
      <c r="I18" s="4" t="inlineStr"/>
      <c r="J18" s="2" t="inlineStr">
        <is>
          <t>UI</t>
        </is>
      </c>
      <c r="K18" s="3" t="inlineStr"/>
    </row>
    <row r="19">
      <c r="A19" s="2" t="inlineStr">
        <is>
          <t>T-018</t>
        </is>
      </c>
      <c r="B19" s="2" t="inlineStr"/>
      <c r="C19" s="3" t="inlineStr">
        <is>
          <t>Show recoil delta on actions</t>
        </is>
      </c>
      <c r="D19" s="2" t="inlineStr">
        <is>
          <t>GBO3</t>
        </is>
      </c>
      <c r="E19" s="2" t="inlineStr">
        <is>
          <t>UI &amp; Descriptions</t>
        </is>
      </c>
      <c r="F19" s="2" t="inlineStr">
        <is>
          <t>UX</t>
        </is>
      </c>
      <c r="G19" s="2" t="inlineStr">
        <is>
          <t>P2</t>
        </is>
      </c>
      <c r="H19" s="2" t="inlineStr">
        <is>
          <t>Open</t>
        </is>
      </c>
      <c r="I19" s="4" t="inlineStr"/>
      <c r="J19" s="2" t="inlineStr">
        <is>
          <t>UI</t>
        </is>
      </c>
      <c r="K19" s="3" t="inlineStr"/>
    </row>
    <row r="20">
      <c r="A20" s="2" t="inlineStr">
        <is>
          <t>T-019</t>
        </is>
      </c>
      <c r="B20" s="2" t="inlineStr"/>
      <c r="C20" s="3" t="inlineStr">
        <is>
          <t>Caliber/ammo params in their own section (remove crit damage and base chance from hints)</t>
        </is>
      </c>
      <c r="D20" s="2" t="inlineStr">
        <is>
          <t>GBO3</t>
        </is>
      </c>
      <c r="E20" s="2" t="inlineStr">
        <is>
          <t>UI &amp; Descriptions</t>
        </is>
      </c>
      <c r="F20" s="2" t="inlineStr">
        <is>
          <t>UX</t>
        </is>
      </c>
      <c r="G20" s="2" t="inlineStr">
        <is>
          <t>P2</t>
        </is>
      </c>
      <c r="H20" s="2" t="inlineStr">
        <is>
          <t>Done</t>
        </is>
      </c>
      <c r="I20" s="4" t="inlineStr"/>
      <c r="J20" s="2" t="inlineStr">
        <is>
          <t>UI</t>
        </is>
      </c>
      <c r="K20" s="3" t="inlineStr"/>
    </row>
    <row r="21">
      <c r="A21" s="2" t="inlineStr">
        <is>
          <t>T-020</t>
        </is>
      </c>
      <c r="B21" s="2" t="inlineStr"/>
      <c r="C21" s="3" t="inlineStr">
        <is>
          <t>Scale aim in hints by merc and handgun status</t>
        </is>
      </c>
      <c r="D21" s="2" t="inlineStr">
        <is>
          <t>GBO3</t>
        </is>
      </c>
      <c r="E21" s="2" t="inlineStr">
        <is>
          <t>UI &amp; Descriptions</t>
        </is>
      </c>
      <c r="F21" s="2" t="inlineStr">
        <is>
          <t>UX</t>
        </is>
      </c>
      <c r="G21" s="2" t="inlineStr">
        <is>
          <t>P2</t>
        </is>
      </c>
      <c r="H21" s="2" t="inlineStr">
        <is>
          <t>Done</t>
        </is>
      </c>
      <c r="I21" s="4" t="inlineStr"/>
      <c r="J21" s="2" t="inlineStr">
        <is>
          <t>UI</t>
        </is>
      </c>
      <c r="K21" s="3" t="inlineStr"/>
    </row>
    <row r="22">
      <c r="A22" s="2" t="inlineStr">
        <is>
          <t>T-021</t>
        </is>
      </c>
      <c r="B22" s="2" t="inlineStr"/>
      <c r="C22" s="3" t="inlineStr">
        <is>
          <t>Pellet count in caliber section</t>
        </is>
      </c>
      <c r="D22" s="2" t="inlineStr">
        <is>
          <t>GBO3</t>
        </is>
      </c>
      <c r="E22" s="2" t="inlineStr">
        <is>
          <t>UI &amp; Descriptions</t>
        </is>
      </c>
      <c r="F22" s="2" t="inlineStr">
        <is>
          <t>UX</t>
        </is>
      </c>
      <c r="G22" s="2" t="inlineStr">
        <is>
          <t>P3</t>
        </is>
      </c>
      <c r="H22" s="2" t="inlineStr">
        <is>
          <t>Done</t>
        </is>
      </c>
      <c r="I22" s="4" t="inlineStr"/>
      <c r="J22" s="2" t="inlineStr">
        <is>
          <t>UI</t>
        </is>
      </c>
      <c r="K22" s="3" t="inlineStr"/>
    </row>
    <row r="23">
      <c r="A23" s="2" t="inlineStr">
        <is>
          <t>T-022</t>
        </is>
      </c>
      <c r="B23" s="2" t="inlineStr"/>
      <c r="C23" s="3" t="inlineStr">
        <is>
          <t>Further details include AP to swap and AP to reload</t>
        </is>
      </c>
      <c r="D23" s="2" t="inlineStr">
        <is>
          <t>GBO3</t>
        </is>
      </c>
      <c r="E23" s="2" t="inlineStr">
        <is>
          <t>UI &amp; Descriptions</t>
        </is>
      </c>
      <c r="F23" s="2" t="inlineStr">
        <is>
          <t>UX</t>
        </is>
      </c>
      <c r="G23" s="2" t="inlineStr">
        <is>
          <t>P3</t>
        </is>
      </c>
      <c r="H23" s="2" t="inlineStr">
        <is>
          <t>Done</t>
        </is>
      </c>
      <c r="I23" s="4" t="inlineStr"/>
      <c r="J23" s="2" t="inlineStr">
        <is>
          <t>UI</t>
        </is>
      </c>
      <c r="K23" s="3" t="inlineStr"/>
    </row>
    <row r="24">
      <c r="A24" s="2" t="inlineStr">
        <is>
          <t>T-023</t>
        </is>
      </c>
      <c r="B24" s="2" t="inlineStr"/>
      <c r="C24" s="3" t="inlineStr">
        <is>
          <t>Noise shown even when no ammo loaded</t>
        </is>
      </c>
      <c r="D24" s="2" t="inlineStr">
        <is>
          <t>GBO3</t>
        </is>
      </c>
      <c r="E24" s="2" t="inlineStr">
        <is>
          <t>UI &amp; Descriptions</t>
        </is>
      </c>
      <c r="F24" s="2" t="inlineStr">
        <is>
          <t>Bug</t>
        </is>
      </c>
      <c r="G24" s="2" t="inlineStr">
        <is>
          <t>P3</t>
        </is>
      </c>
      <c r="H24" s="2" t="inlineStr">
        <is>
          <t>Done</t>
        </is>
      </c>
      <c r="I24" s="4" t="inlineStr"/>
      <c r="J24" s="2" t="inlineStr">
        <is>
          <t>UI</t>
        </is>
      </c>
      <c r="K24" s="3" t="inlineStr"/>
    </row>
    <row r="25">
      <c r="A25" s="2" t="inlineStr">
        <is>
          <t>T-024</t>
        </is>
      </c>
      <c r="B25" s="2" t="inlineStr"/>
      <c r="C25" s="3" t="inlineStr">
        <is>
          <t>Bobby Ray's showing old crit scaling</t>
        </is>
      </c>
      <c r="D25" s="2" t="inlineStr">
        <is>
          <t>GBO3</t>
        </is>
      </c>
      <c r="E25" s="2" t="inlineStr">
        <is>
          <t>UI &amp; Descriptions</t>
        </is>
      </c>
      <c r="F25" s="2" t="inlineStr">
        <is>
          <t>Bug</t>
        </is>
      </c>
      <c r="G25" s="2" t="inlineStr">
        <is>
          <t>P2</t>
        </is>
      </c>
      <c r="H25" s="2" t="inlineStr">
        <is>
          <t>Done</t>
        </is>
      </c>
      <c r="I25" s="4" t="inlineStr"/>
      <c r="J25" s="2" t="inlineStr">
        <is>
          <t>UI</t>
        </is>
      </c>
      <c r="K25" s="3" t="inlineStr"/>
    </row>
    <row r="26">
      <c r="A26" s="2" t="inlineStr">
        <is>
          <t>T-025</t>
        </is>
      </c>
      <c r="B26" s="2" t="inlineStr"/>
      <c r="C26" s="3" t="inlineStr">
        <is>
          <t>Unified component handling with ancestor/CTH mode</t>
        </is>
      </c>
      <c r="D26" s="2" t="inlineStr">
        <is>
          <t>GBO3</t>
        </is>
      </c>
      <c r="E26" s="2" t="inlineStr">
        <is>
          <t>Components</t>
        </is>
      </c>
      <c r="F26" s="2" t="inlineStr">
        <is>
          <t>Refactor</t>
        </is>
      </c>
      <c r="G26" s="2" t="inlineStr">
        <is>
          <t>P1</t>
        </is>
      </c>
      <c r="H26" s="2" t="inlineStr">
        <is>
          <t>Done</t>
        </is>
      </c>
      <c r="I26" s="4" t="inlineStr"/>
      <c r="J26" s="2" t="inlineStr">
        <is>
          <t>Housekeeping</t>
        </is>
      </c>
      <c r="K26" s="3" t="inlineStr"/>
    </row>
    <row r="27">
      <c r="A27" s="2" t="inlineStr">
        <is>
          <t>T-026</t>
        </is>
      </c>
      <c r="B27" s="2" t="inlineStr">
        <is>
          <t>T-025</t>
        </is>
      </c>
      <c r="C27" s="3" t="inlineStr">
        <is>
          <t xml:space="preserve">    ↳ Fix/unify with aCTH logic</t>
        </is>
      </c>
      <c r="D27" s="2" t="inlineStr">
        <is>
          <t>GBO3</t>
        </is>
      </c>
      <c r="E27" s="2" t="inlineStr">
        <is>
          <t>Components</t>
        </is>
      </c>
      <c r="F27" s="2" t="inlineStr">
        <is>
          <t>Refactor</t>
        </is>
      </c>
      <c r="G27" s="2" t="inlineStr">
        <is>
          <t>P1</t>
        </is>
      </c>
      <c r="H27" s="2" t="inlineStr">
        <is>
          <t>Done</t>
        </is>
      </c>
      <c r="I27" s="4" t="inlineStr"/>
      <c r="J27" s="2" t="inlineStr">
        <is>
          <t>Housekeeping</t>
        </is>
      </c>
      <c r="K27" s="3" t="inlineStr"/>
    </row>
    <row r="28">
      <c r="A28" s="2" t="inlineStr">
        <is>
          <t>T-027</t>
        </is>
      </c>
      <c r="B28" s="2" t="inlineStr">
        <is>
          <t>T-025</t>
        </is>
      </c>
      <c r="C28" s="3" t="inlineStr">
        <is>
          <t xml:space="preserve">    ↳ Verify whether the patch called from ToG is redundant</t>
        </is>
      </c>
      <c r="D28" s="2" t="inlineStr">
        <is>
          <t>GBO3</t>
        </is>
      </c>
      <c r="E28" s="2" t="inlineStr">
        <is>
          <t>Compatibility</t>
        </is>
      </c>
      <c r="F28" s="2" t="inlineStr">
        <is>
          <t>Investigation</t>
        </is>
      </c>
      <c r="G28" s="2" t="inlineStr">
        <is>
          <t>P2</t>
        </is>
      </c>
      <c r="H28" s="2" t="inlineStr">
        <is>
          <t>Done</t>
        </is>
      </c>
      <c r="I28" s="4" t="inlineStr"/>
      <c r="J28" s="2" t="inlineStr">
        <is>
          <t>Housekeeping</t>
        </is>
      </c>
      <c r="K28" s="3" t="inlineStr">
        <is>
          <t>Not redundant: visual changes and foldable stock foldability</t>
        </is>
      </c>
    </row>
    <row r="29">
      <c r="A29" s="2" t="inlineStr">
        <is>
          <t>T-028</t>
        </is>
      </c>
      <c r="B29" s="2" t="inlineStr"/>
      <c r="C29" s="3" t="inlineStr">
        <is>
          <t>Remove unused calibers from Bobby Ray's list</t>
        </is>
      </c>
      <c r="D29" s="2" t="inlineStr">
        <is>
          <t>GBO3</t>
        </is>
      </c>
      <c r="E29" s="2" t="inlineStr">
        <is>
          <t>Loot &amp; Economy</t>
        </is>
      </c>
      <c r="F29" s="2" t="inlineStr">
        <is>
          <t>Content</t>
        </is>
      </c>
      <c r="G29" s="2" t="inlineStr">
        <is>
          <t>P3</t>
        </is>
      </c>
      <c r="H29" s="2" t="inlineStr">
        <is>
          <t>Done</t>
        </is>
      </c>
      <c r="I29" s="4" t="inlineStr"/>
      <c r="J29" s="2" t="inlineStr">
        <is>
          <t>Housekeeping</t>
        </is>
      </c>
      <c r="K29" s="3" t="inlineStr"/>
    </row>
    <row r="30">
      <c r="A30" s="2" t="inlineStr">
        <is>
          <t>T-029</t>
        </is>
      </c>
      <c r="B30" s="2" t="inlineStr"/>
      <c r="C30" s="3" t="inlineStr">
        <is>
          <t>Check unjam skill mechanic; if flat, turn into a skill check</t>
        </is>
      </c>
      <c r="D30" s="2" t="inlineStr">
        <is>
          <t>GBO3</t>
        </is>
      </c>
      <c r="E30" s="2" t="inlineStr">
        <is>
          <t>Weapons</t>
        </is>
      </c>
      <c r="F30" s="2" t="inlineStr">
        <is>
          <t>Balance</t>
        </is>
      </c>
      <c r="G30" s="2" t="inlineStr">
        <is>
          <t>P2</t>
        </is>
      </c>
      <c r="H30" s="2" t="inlineStr">
        <is>
          <t>Open</t>
        </is>
      </c>
      <c r="I30" s="4" t="inlineStr"/>
      <c r="J30" s="2" t="inlineStr">
        <is>
          <t>General</t>
        </is>
      </c>
      <c r="K30" s="3" t="inlineStr"/>
    </row>
    <row r="31">
      <c r="A31" s="2" t="inlineStr">
        <is>
          <t>T-030</t>
        </is>
      </c>
      <c r="B31" s="2" t="inlineStr"/>
      <c r="C31" s="3" t="inlineStr">
        <is>
          <t>Heavy rain aim penalty triggering indoors?</t>
        </is>
      </c>
      <c r="D31" s="2" t="inlineStr">
        <is>
          <t>GBO3</t>
        </is>
      </c>
      <c r="E31" s="2" t="inlineStr">
        <is>
          <t>Accuracy</t>
        </is>
      </c>
      <c r="F31" s="2" t="inlineStr">
        <is>
          <t>Investigation</t>
        </is>
      </c>
      <c r="G31" s="2" t="inlineStr">
        <is>
          <t>P2</t>
        </is>
      </c>
      <c r="H31" s="2" t="inlineStr">
        <is>
          <t>Open</t>
        </is>
      </c>
      <c r="I31" s="4" t="inlineStr"/>
      <c r="J31" s="2" t="inlineStr">
        <is>
          <t>General</t>
        </is>
      </c>
      <c r="K31" s="3" t="inlineStr"/>
    </row>
    <row r="32">
      <c r="A32" s="2" t="inlineStr">
        <is>
          <t>T-031</t>
        </is>
      </c>
      <c r="B32" s="2" t="inlineStr"/>
      <c r="C32" s="3" t="inlineStr">
        <is>
          <t>Cumbersome stance AP not on new scale (description hints, display only)</t>
        </is>
      </c>
      <c r="D32" s="2" t="inlineStr">
        <is>
          <t>GBO3</t>
        </is>
      </c>
      <c r="E32" s="2" t="inlineStr">
        <is>
          <t>AP Economy</t>
        </is>
      </c>
      <c r="F32" s="2" t="inlineStr">
        <is>
          <t>Bug</t>
        </is>
      </c>
      <c r="G32" s="2" t="inlineStr">
        <is>
          <t>P2</t>
        </is>
      </c>
      <c r="H32" s="2" t="inlineStr">
        <is>
          <t>Done</t>
        </is>
      </c>
      <c r="I32" s="4" t="inlineStr"/>
      <c r="J32" s="2" t="inlineStr">
        <is>
          <t>New AP scale</t>
        </is>
      </c>
      <c r="K32" s="3" t="inlineStr"/>
    </row>
    <row r="33">
      <c r="A33" s="2" t="inlineStr">
        <is>
          <t>T-032</t>
        </is>
      </c>
      <c r="B33" s="2" t="inlineStr"/>
      <c r="C33" s="3" t="inlineStr">
        <is>
          <t>Gas mask AP reduction not on new scale</t>
        </is>
      </c>
      <c r="D33" s="2" t="inlineStr">
        <is>
          <t>GBO3</t>
        </is>
      </c>
      <c r="E33" s="2" t="inlineStr">
        <is>
          <t>AP Economy</t>
        </is>
      </c>
      <c r="F33" s="2" t="inlineStr">
        <is>
          <t>Bug</t>
        </is>
      </c>
      <c r="G33" s="2" t="inlineStr">
        <is>
          <t>P1</t>
        </is>
      </c>
      <c r="H33" s="2" t="inlineStr">
        <is>
          <t>Open</t>
        </is>
      </c>
      <c r="I33" s="4" t="inlineStr"/>
      <c r="J33" s="2" t="inlineStr">
        <is>
          <t>New AP scale</t>
        </is>
      </c>
      <c r="K33" s="3" t="inlineStr"/>
    </row>
    <row r="34">
      <c r="A34" s="2" t="inlineStr">
        <is>
          <t>T-033</t>
        </is>
      </c>
      <c r="B34" s="2" t="inlineStr"/>
      <c r="C34" s="3" t="inlineStr">
        <is>
          <t>AP calc can yield less than a 10 step</t>
        </is>
      </c>
      <c r="D34" s="2" t="inlineStr">
        <is>
          <t>GBO3</t>
        </is>
      </c>
      <c r="E34" s="2" t="inlineStr">
        <is>
          <t>AP Economy</t>
        </is>
      </c>
      <c r="F34" s="2" t="inlineStr">
        <is>
          <t>Refactor</t>
        </is>
      </c>
      <c r="G34" s="2" t="inlineStr">
        <is>
          <t>P3</t>
        </is>
      </c>
      <c r="H34" s="2" t="inlineStr">
        <is>
          <t>Done</t>
        </is>
      </c>
      <c r="I34" s="4" t="inlineStr"/>
      <c r="J34" s="2" t="inlineStr">
        <is>
          <t>New AP scale</t>
        </is>
      </c>
      <c r="K34" s="3" t="inlineStr"/>
    </row>
    <row r="35">
      <c r="A35" s="2" t="inlineStr">
        <is>
          <t>T-034</t>
        </is>
      </c>
      <c r="B35" s="2" t="inlineStr"/>
      <c r="C35" s="3" t="inlineStr">
        <is>
          <t>Morale effects using old AP scale</t>
        </is>
      </c>
      <c r="D35" s="2" t="inlineStr">
        <is>
          <t>GBO3</t>
        </is>
      </c>
      <c r="E35" s="2" t="inlineStr">
        <is>
          <t>AP Economy</t>
        </is>
      </c>
      <c r="F35" s="2" t="inlineStr">
        <is>
          <t>Bug</t>
        </is>
      </c>
      <c r="G35" s="2" t="inlineStr">
        <is>
          <t>P1</t>
        </is>
      </c>
      <c r="H35" s="2" t="inlineStr">
        <is>
          <t>Done</t>
        </is>
      </c>
      <c r="I35" s="4" t="inlineStr"/>
      <c r="J35" s="2" t="inlineStr">
        <is>
          <t>New AP scale</t>
        </is>
      </c>
      <c r="K35" s="3" t="inlineStr"/>
    </row>
    <row r="36">
      <c r="A36" s="2" t="inlineStr">
        <is>
          <t>T-035</t>
        </is>
      </c>
      <c r="B36" s="2" t="inlineStr"/>
      <c r="C36" s="3" t="inlineStr">
        <is>
          <t>Shipments: got a tier 3 MG after 2 fights</t>
        </is>
      </c>
      <c r="D36" s="2" t="inlineStr">
        <is>
          <t>GBO3</t>
        </is>
      </c>
      <c r="E36" s="2" t="inlineStr">
        <is>
          <t>Loot &amp; Economy</t>
        </is>
      </c>
      <c r="F36" s="2" t="inlineStr">
        <is>
          <t>Balance</t>
        </is>
      </c>
      <c r="G36" s="2" t="inlineStr">
        <is>
          <t>P2</t>
        </is>
      </c>
      <c r="H36" s="2" t="inlineStr">
        <is>
          <t>Done</t>
        </is>
      </c>
      <c r="I36" s="4" t="inlineStr"/>
      <c r="J36" s="2" t="inlineStr">
        <is>
          <t>Components</t>
        </is>
      </c>
      <c r="K36" s="3" t="inlineStr"/>
    </row>
    <row r="37">
      <c r="A37" s="2" t="inlineStr">
        <is>
          <t>T-036</t>
        </is>
      </c>
      <c r="B37" s="2" t="inlineStr"/>
      <c r="C37" s="3" t="inlineStr">
        <is>
          <t>Investigate and balance tier unlocking</t>
        </is>
      </c>
      <c r="D37" s="2" t="inlineStr">
        <is>
          <t>GBO3</t>
        </is>
      </c>
      <c r="E37" s="2" t="inlineStr">
        <is>
          <t>Components</t>
        </is>
      </c>
      <c r="F37" s="2" t="inlineStr">
        <is>
          <t>Balance</t>
        </is>
      </c>
      <c r="G37" s="2" t="inlineStr">
        <is>
          <t>P2</t>
        </is>
      </c>
      <c r="H37" s="2" t="inlineStr">
        <is>
          <t>Open</t>
        </is>
      </c>
      <c r="I37" s="4" t="inlineStr"/>
      <c r="J37" s="2" t="inlineStr">
        <is>
          <t>Attachments</t>
        </is>
      </c>
      <c r="K37" s="3" t="inlineStr"/>
    </row>
    <row r="38">
      <c r="A38" s="2" t="inlineStr">
        <is>
          <t>T-037</t>
        </is>
      </c>
      <c r="B38" s="2" t="inlineStr"/>
      <c r="C38" s="3" t="inlineStr">
        <is>
          <t>Possibly rescale parts gained</t>
        </is>
      </c>
      <c r="D38" s="2" t="inlineStr">
        <is>
          <t>GBO3</t>
        </is>
      </c>
      <c r="E38" s="2" t="inlineStr">
        <is>
          <t>Loot &amp; Economy</t>
        </is>
      </c>
      <c r="F38" s="2" t="inlineStr">
        <is>
          <t>Balance</t>
        </is>
      </c>
      <c r="G38" s="2" t="inlineStr">
        <is>
          <t>P3</t>
        </is>
      </c>
      <c r="H38" s="2" t="inlineStr">
        <is>
          <t>Open</t>
        </is>
      </c>
      <c r="I38" s="4" t="inlineStr"/>
      <c r="J38" s="2" t="inlineStr">
        <is>
          <t>Attachments</t>
        </is>
      </c>
      <c r="K38" s="3" t="inlineStr"/>
    </row>
    <row r="39">
      <c r="A39" s="2" t="inlineStr">
        <is>
          <t>T-038</t>
        </is>
      </c>
      <c r="B39" s="2" t="inlineStr"/>
      <c r="C39" s="3" t="inlineStr">
        <is>
          <t>CUAE handling of attachments</t>
        </is>
      </c>
      <c r="D39" s="2" t="inlineStr">
        <is>
          <t>GBO3</t>
        </is>
      </c>
      <c r="E39" s="2" t="inlineStr">
        <is>
          <t>Compatibility</t>
        </is>
      </c>
      <c r="F39" s="2" t="inlineStr">
        <is>
          <t>Feature</t>
        </is>
      </c>
      <c r="G39" s="2" t="inlineStr">
        <is>
          <t>P2</t>
        </is>
      </c>
      <c r="H39" s="2" t="inlineStr">
        <is>
          <t>Open</t>
        </is>
      </c>
      <c r="I39" s="4" t="inlineStr"/>
      <c r="J39" s="2" t="inlineStr">
        <is>
          <t>Attachments</t>
        </is>
      </c>
      <c r="K39" s="3" t="inlineStr"/>
    </row>
    <row r="40">
      <c r="A40" s="2" t="inlineStr">
        <is>
          <t>T-039</t>
        </is>
      </c>
      <c r="B40" s="2" t="inlineStr"/>
      <c r="C40" s="3" t="inlineStr">
        <is>
          <t>Spreadsheet for attachment costs</t>
        </is>
      </c>
      <c r="D40" s="2" t="inlineStr">
        <is>
          <t>GBO3</t>
        </is>
      </c>
      <c r="E40" s="2" t="inlineStr">
        <is>
          <t>Components</t>
        </is>
      </c>
      <c r="F40" s="2" t="inlineStr">
        <is>
          <t>Tooling/Docs</t>
        </is>
      </c>
      <c r="G40" s="2" t="inlineStr">
        <is>
          <t>P3</t>
        </is>
      </c>
      <c r="H40" s="2" t="inlineStr">
        <is>
          <t>Open</t>
        </is>
      </c>
      <c r="I40" s="4" t="inlineStr"/>
      <c r="J40" s="2" t="inlineStr">
        <is>
          <t>Attachments</t>
        </is>
      </c>
      <c r="K40" s="3" t="inlineStr"/>
    </row>
    <row r="41">
      <c r="A41" s="2" t="inlineStr">
        <is>
          <t>T-040</t>
        </is>
      </c>
      <c r="B41" s="2" t="inlineStr"/>
      <c r="C41" s="3" t="inlineStr">
        <is>
          <t>Find a use for Lens and Chips</t>
        </is>
      </c>
      <c r="D41" s="2" t="inlineStr">
        <is>
          <t>GBO3</t>
        </is>
      </c>
      <c r="E41" s="2" t="inlineStr">
        <is>
          <t>Loot &amp; Economy</t>
        </is>
      </c>
      <c r="F41" s="2" t="inlineStr">
        <is>
          <t>Feature</t>
        </is>
      </c>
      <c r="G41" s="2" t="inlineStr">
        <is>
          <t>P1</t>
        </is>
      </c>
      <c r="H41" s="2" t="inlineStr">
        <is>
          <t>Open</t>
        </is>
      </c>
      <c r="I41" s="4" t="inlineStr"/>
      <c r="J41" s="2" t="inlineStr">
        <is>
          <t>Attachments</t>
        </is>
      </c>
      <c r="K41" s="3" t="inlineStr">
        <is>
          <t>Marked !!! in original</t>
        </is>
      </c>
    </row>
    <row r="42">
      <c r="A42" s="2" t="inlineStr">
        <is>
          <t>T-041</t>
        </is>
      </c>
      <c r="B42" s="2" t="inlineStr"/>
      <c r="C42" s="3" t="inlineStr">
        <is>
          <t>Component icons/models from ToC: 5.45, 7.62x54R, .45 ACP, .44 rifle suppressors, Mauser?</t>
        </is>
      </c>
      <c r="D42" s="2" t="inlineStr">
        <is>
          <t>GBO3</t>
        </is>
      </c>
      <c r="E42" s="2" t="inlineStr">
        <is>
          <t>Components</t>
        </is>
      </c>
      <c r="F42" s="2" t="inlineStr">
        <is>
          <t>Art/Content</t>
        </is>
      </c>
      <c r="G42" s="2" t="inlineStr">
        <is>
          <t>P3</t>
        </is>
      </c>
      <c r="H42" s="2" t="inlineStr">
        <is>
          <t>Open</t>
        </is>
      </c>
      <c r="I42" s="4" t="inlineStr"/>
      <c r="J42" s="2" t="inlineStr">
        <is>
          <t>Attachments</t>
        </is>
      </c>
      <c r="K42" s="3" t="inlineStr">
        <is>
          <t>Open question: guns that change calibers</t>
        </is>
      </c>
    </row>
    <row r="43">
      <c r="A43" s="2" t="inlineStr">
        <is>
          <t>T-042</t>
        </is>
      </c>
      <c r="B43" s="2" t="inlineStr"/>
      <c r="C43" s="3" t="inlineStr">
        <is>
          <t>Caliber-changing barrels now block muzzle (no incompatibility)</t>
        </is>
      </c>
      <c r="D43" s="2" t="inlineStr">
        <is>
          <t>GBO3</t>
        </is>
      </c>
      <c r="E43" s="2" t="inlineStr">
        <is>
          <t>Components</t>
        </is>
      </c>
      <c r="F43" s="2" t="inlineStr">
        <is>
          <t>Feature</t>
        </is>
      </c>
      <c r="G43" s="2" t="inlineStr">
        <is>
          <t>P2</t>
        </is>
      </c>
      <c r="H43" s="2" t="inlineStr">
        <is>
          <t>Done</t>
        </is>
      </c>
      <c r="I43" s="4" t="inlineStr"/>
      <c r="J43" s="2" t="inlineStr">
        <is>
          <t>Attachments</t>
        </is>
      </c>
      <c r="K43" s="3" t="inlineStr"/>
    </row>
    <row r="44">
      <c r="A44" s="2" t="inlineStr">
        <is>
          <t>T-043</t>
        </is>
      </c>
      <c r="B44" s="2" t="inlineStr">
        <is>
          <t>T-042</t>
        </is>
      </c>
      <c r="C44" s="3" t="inlineStr">
        <is>
          <t xml:space="preserve">    ↳ Custom logic for caliber-changing barrels</t>
        </is>
      </c>
      <c r="D44" s="2" t="inlineStr">
        <is>
          <t>GBO3</t>
        </is>
      </c>
      <c r="E44" s="2" t="inlineStr">
        <is>
          <t>Components</t>
        </is>
      </c>
      <c r="F44" s="2" t="inlineStr">
        <is>
          <t>Feature</t>
        </is>
      </c>
      <c r="G44" s="2" t="inlineStr">
        <is>
          <t>P4</t>
        </is>
      </c>
      <c r="H44" s="2" t="inlineStr">
        <is>
          <t>Open</t>
        </is>
      </c>
      <c r="I44" s="4" t="inlineStr"/>
      <c r="J44" s="2" t="inlineStr">
        <is>
          <t>Attachments</t>
        </is>
      </c>
      <c r="K44" s="3" t="inlineStr">
        <is>
          <t>Optional</t>
        </is>
      </c>
    </row>
    <row r="45">
      <c r="A45" s="2" t="inlineStr">
        <is>
          <t>T-044</t>
        </is>
      </c>
      <c r="B45" s="2" t="inlineStr"/>
      <c r="C45" s="3" t="inlineStr">
        <is>
          <t>P90 was using 5.56 suppressor and compensator</t>
        </is>
      </c>
      <c r="D45" s="2" t="inlineStr">
        <is>
          <t>GBO3</t>
        </is>
      </c>
      <c r="E45" s="2" t="inlineStr">
        <is>
          <t>Components</t>
        </is>
      </c>
      <c r="F45" s="2" t="inlineStr">
        <is>
          <t>Bug</t>
        </is>
      </c>
      <c r="G45" s="2" t="inlineStr">
        <is>
          <t>P3</t>
        </is>
      </c>
      <c r="H45" s="2" t="inlineStr">
        <is>
          <t>Done</t>
        </is>
      </c>
      <c r="I45" s="4" t="inlineStr"/>
      <c r="J45" s="2" t="inlineStr">
        <is>
          <t>Attachments</t>
        </is>
      </c>
      <c r="K45" s="3" t="inlineStr">
        <is>
          <t>Removed from P90</t>
        </is>
      </c>
    </row>
    <row r="46">
      <c r="A46" s="2" t="inlineStr">
        <is>
          <t>T-045</t>
        </is>
      </c>
      <c r="B46" s="2" t="inlineStr"/>
      <c r="C46" s="3" t="inlineStr">
        <is>
          <t>Change RS grading: compact -&gt; assault compact -&gt; assault/vulto</t>
        </is>
      </c>
      <c r="D46" s="2" t="inlineStr">
        <is>
          <t>GBO3</t>
        </is>
      </c>
      <c r="E46" s="2" t="inlineStr">
        <is>
          <t>Components</t>
        </is>
      </c>
      <c r="F46" s="2" t="inlineStr">
        <is>
          <t>Content</t>
        </is>
      </c>
      <c r="G46" s="2" t="inlineStr">
        <is>
          <t>P2</t>
        </is>
      </c>
      <c r="H46" s="2" t="inlineStr">
        <is>
          <t>Done</t>
        </is>
      </c>
      <c r="I46" s="4" t="inlineStr"/>
      <c r="J46" s="2" t="inlineStr">
        <is>
          <t>Design</t>
        </is>
      </c>
      <c r="K46" s="3" t="inlineStr"/>
    </row>
    <row r="47">
      <c r="A47" s="2" t="inlineStr">
        <is>
          <t>T-046</t>
        </is>
      </c>
      <c r="B47" s="2" t="inlineStr"/>
      <c r="C47" s="3" t="inlineStr">
        <is>
          <t>Rename advanced RS for pistols</t>
        </is>
      </c>
      <c r="D47" s="2" t="inlineStr">
        <is>
          <t>GBO3</t>
        </is>
      </c>
      <c r="E47" s="2" t="inlineStr">
        <is>
          <t>Components</t>
        </is>
      </c>
      <c r="F47" s="2" t="inlineStr">
        <is>
          <t>Text</t>
        </is>
      </c>
      <c r="G47" s="2" t="inlineStr">
        <is>
          <t>P3</t>
        </is>
      </c>
      <c r="H47" s="2" t="inlineStr">
        <is>
          <t>Open</t>
        </is>
      </c>
      <c r="I47" s="4" t="inlineStr"/>
      <c r="J47" s="2" t="inlineStr">
        <is>
          <t>Design</t>
        </is>
      </c>
      <c r="K47" s="3" t="inlineStr"/>
    </row>
    <row r="48">
      <c r="A48" s="2" t="inlineStr">
        <is>
          <t>T-047</t>
        </is>
      </c>
      <c r="B48" s="2" t="inlineStr"/>
      <c r="C48" s="3" t="inlineStr">
        <is>
          <t>Add compact Advanced (Glock RS) to rifles?</t>
        </is>
      </c>
      <c r="D48" s="2" t="inlineStr">
        <is>
          <t>GBO3</t>
        </is>
      </c>
      <c r="E48" s="2" t="inlineStr">
        <is>
          <t>Components</t>
        </is>
      </c>
      <c r="F48" s="2" t="inlineStr">
        <is>
          <t>Content</t>
        </is>
      </c>
      <c r="G48" s="2" t="inlineStr">
        <is>
          <t>P3</t>
        </is>
      </c>
      <c r="H48" s="2" t="inlineStr">
        <is>
          <t>Proposal</t>
        </is>
      </c>
      <c r="I48" s="4" t="inlineStr"/>
      <c r="J48" s="2" t="inlineStr">
        <is>
          <t>Design</t>
        </is>
      </c>
      <c r="K48" s="3" t="inlineStr"/>
    </row>
    <row r="49">
      <c r="A49" s="2" t="inlineStr">
        <is>
          <t>T-048</t>
        </is>
      </c>
      <c r="B49" s="2" t="inlineStr"/>
      <c r="C49" s="3" t="inlineStr">
        <is>
          <t>Remove Vulto RS from pistols?</t>
        </is>
      </c>
      <c r="D49" s="2" t="inlineStr">
        <is>
          <t>GBO3</t>
        </is>
      </c>
      <c r="E49" s="2" t="inlineStr">
        <is>
          <t>Components</t>
        </is>
      </c>
      <c r="F49" s="2" t="inlineStr">
        <is>
          <t>Content</t>
        </is>
      </c>
      <c r="G49" s="2" t="inlineStr">
        <is>
          <t>P3</t>
        </is>
      </c>
      <c r="H49" s="2" t="inlineStr">
        <is>
          <t>Proposal</t>
        </is>
      </c>
      <c r="I49" s="4" t="inlineStr"/>
      <c r="J49" s="2" t="inlineStr">
        <is>
          <t>Design</t>
        </is>
      </c>
      <c r="K49" s="3" t="inlineStr"/>
    </row>
    <row r="50">
      <c r="A50" s="2" t="inlineStr">
        <is>
          <t>T-049</t>
        </is>
      </c>
      <c r="B50" s="2" t="inlineStr"/>
      <c r="C50" s="3" t="inlineStr">
        <is>
          <t>Remove ToG handguards</t>
        </is>
      </c>
      <c r="D50" s="2" t="inlineStr">
        <is>
          <t>GBO3</t>
        </is>
      </c>
      <c r="E50" s="2" t="inlineStr">
        <is>
          <t>Components</t>
        </is>
      </c>
      <c r="F50" s="2" t="inlineStr">
        <is>
          <t>Content</t>
        </is>
      </c>
      <c r="G50" s="2" t="inlineStr">
        <is>
          <t>P3</t>
        </is>
      </c>
      <c r="H50" s="2" t="inlineStr">
        <is>
          <t>Done</t>
        </is>
      </c>
      <c r="I50" s="4" t="inlineStr"/>
      <c r="J50" s="2" t="inlineStr">
        <is>
          <t>Design</t>
        </is>
      </c>
      <c r="K50" s="3" t="inlineStr">
        <is>
          <t>RKs done</t>
        </is>
      </c>
    </row>
    <row r="51">
      <c r="A51" s="2" t="inlineStr">
        <is>
          <t>T-050</t>
        </is>
      </c>
      <c r="B51" s="2" t="inlineStr"/>
      <c r="C51" s="3" t="inlineStr">
        <is>
          <t>No interchangeable stock between RKs</t>
        </is>
      </c>
      <c r="D51" s="2" t="inlineStr">
        <is>
          <t>GBO3</t>
        </is>
      </c>
      <c r="E51" s="2" t="inlineStr">
        <is>
          <t>Components</t>
        </is>
      </c>
      <c r="F51" s="2" t="inlineStr">
        <is>
          <t>Content</t>
        </is>
      </c>
      <c r="G51" s="2" t="inlineStr">
        <is>
          <t>P3</t>
        </is>
      </c>
      <c r="H51" s="2" t="inlineStr">
        <is>
          <t>Done</t>
        </is>
      </c>
      <c r="I51" s="4" t="inlineStr"/>
      <c r="J51" s="2" t="inlineStr">
        <is>
          <t>Design</t>
        </is>
      </c>
      <c r="K51" s="3" t="inlineStr"/>
    </row>
    <row r="52">
      <c r="A52" s="2" t="inlineStr">
        <is>
          <t>T-051</t>
        </is>
      </c>
      <c r="B52" s="2" t="inlineStr"/>
      <c r="C52" s="3" t="inlineStr">
        <is>
          <t>Prune components that don't make sense (elegance first)</t>
        </is>
      </c>
      <c r="D52" s="2" t="inlineStr">
        <is>
          <t>GBO3</t>
        </is>
      </c>
      <c r="E52" s="2" t="inlineStr">
        <is>
          <t>Components</t>
        </is>
      </c>
      <c r="F52" s="2" t="inlineStr">
        <is>
          <t>Content</t>
        </is>
      </c>
      <c r="G52" s="2" t="inlineStr">
        <is>
          <t>P2</t>
        </is>
      </c>
      <c r="H52" s="2" t="inlineStr">
        <is>
          <t>Open</t>
        </is>
      </c>
      <c r="I52" s="4" t="inlineStr"/>
      <c r="J52" s="2" t="inlineStr">
        <is>
          <t>Design</t>
        </is>
      </c>
      <c r="K52" s="3" t="inlineStr"/>
    </row>
    <row r="53">
      <c r="A53" s="2" t="inlineStr">
        <is>
          <t>T-052</t>
        </is>
      </c>
      <c r="B53" s="2" t="inlineStr"/>
      <c r="C53" s="3" t="inlineStr">
        <is>
          <t>ACOG +1 min aim level for aimed attacks?</t>
        </is>
      </c>
      <c r="D53" s="2" t="inlineStr">
        <is>
          <t>GBO3</t>
        </is>
      </c>
      <c r="E53" s="2" t="inlineStr">
        <is>
          <t>Components</t>
        </is>
      </c>
      <c r="F53" s="2" t="inlineStr">
        <is>
          <t>Balance</t>
        </is>
      </c>
      <c r="G53" s="2" t="inlineStr">
        <is>
          <t>P3</t>
        </is>
      </c>
      <c r="H53" s="2" t="inlineStr">
        <is>
          <t>Proposal</t>
        </is>
      </c>
      <c r="I53" s="4" t="inlineStr"/>
      <c r="J53" s="2" t="inlineStr">
        <is>
          <t>Design</t>
        </is>
      </c>
      <c r="K53" s="3" t="inlineStr"/>
    </row>
    <row r="54">
      <c r="A54" s="2" t="inlineStr">
        <is>
          <t>T-053</t>
        </is>
      </c>
      <c r="B54" s="2" t="inlineStr"/>
      <c r="C54" s="3" t="inlineStr">
        <is>
          <t>Re-tune component AP cost for new AP scale</t>
        </is>
      </c>
      <c r="D54" s="2" t="inlineStr">
        <is>
          <t>GBO3</t>
        </is>
      </c>
      <c r="E54" s="2" t="inlineStr">
        <is>
          <t>Components</t>
        </is>
      </c>
      <c r="F54" s="2" t="inlineStr">
        <is>
          <t>Balance</t>
        </is>
      </c>
      <c r="G54" s="2" t="inlineStr">
        <is>
          <t>P2</t>
        </is>
      </c>
      <c r="H54" s="2" t="inlineStr">
        <is>
          <t>Done</t>
        </is>
      </c>
      <c r="I54" s="4" t="inlineStr"/>
      <c r="J54" s="2" t="inlineStr">
        <is>
          <t>Design</t>
        </is>
      </c>
      <c r="K54" s="3" t="inlineStr"/>
    </row>
    <row r="55">
      <c r="A55" s="2" t="inlineStr">
        <is>
          <t>T-054</t>
        </is>
      </c>
      <c r="B55" s="2" t="inlineStr">
        <is>
          <t>T-053</t>
        </is>
      </c>
      <c r="C55" s="3" t="inlineStr">
        <is>
          <t xml:space="preserve">    ↳ Handgun barrels -&gt; 3</t>
        </is>
      </c>
      <c r="D55" s="2" t="inlineStr">
        <is>
          <t>GBO3</t>
        </is>
      </c>
      <c r="E55" s="2" t="inlineStr">
        <is>
          <t>Components</t>
        </is>
      </c>
      <c r="F55" s="2" t="inlineStr">
        <is>
          <t>Balance</t>
        </is>
      </c>
      <c r="G55" s="2" t="inlineStr">
        <is>
          <t>P2</t>
        </is>
      </c>
      <c r="H55" s="2" t="inlineStr">
        <is>
          <t>Done</t>
        </is>
      </c>
      <c r="I55" s="4" t="inlineStr"/>
      <c r="J55" s="2" t="inlineStr">
        <is>
          <t>Design</t>
        </is>
      </c>
      <c r="K55" s="3" t="inlineStr"/>
    </row>
    <row r="56">
      <c r="A56" s="2" t="inlineStr">
        <is>
          <t>T-055</t>
        </is>
      </c>
      <c r="B56" s="2" t="inlineStr">
        <is>
          <t>T-053</t>
        </is>
      </c>
      <c r="C56" s="3" t="inlineStr">
        <is>
          <t xml:space="preserve">    ↳ Light stock -&gt; 5</t>
        </is>
      </c>
      <c r="D56" s="2" t="inlineStr">
        <is>
          <t>GBO3</t>
        </is>
      </c>
      <c r="E56" s="2" t="inlineStr">
        <is>
          <t>Components</t>
        </is>
      </c>
      <c r="F56" s="2" t="inlineStr">
        <is>
          <t>Balance</t>
        </is>
      </c>
      <c r="G56" s="2" t="inlineStr">
        <is>
          <t>P2</t>
        </is>
      </c>
      <c r="H56" s="2" t="inlineStr">
        <is>
          <t>Done</t>
        </is>
      </c>
      <c r="I56" s="4" t="inlineStr"/>
      <c r="J56" s="2" t="inlineStr">
        <is>
          <t>Design</t>
        </is>
      </c>
      <c r="K56" s="3" t="inlineStr"/>
    </row>
    <row r="57">
      <c r="A57" s="2" t="inlineStr">
        <is>
          <t>T-056</t>
        </is>
      </c>
      <c r="B57" s="2" t="inlineStr">
        <is>
          <t>T-053</t>
        </is>
      </c>
      <c r="C57" s="3" t="inlineStr">
        <is>
          <t xml:space="preserve">    ↳ Heavy stock unchanged</t>
        </is>
      </c>
      <c r="D57" s="2" t="inlineStr">
        <is>
          <t>GBO3</t>
        </is>
      </c>
      <c r="E57" s="2" t="inlineStr">
        <is>
          <t>Components</t>
        </is>
      </c>
      <c r="F57" s="2" t="inlineStr">
        <is>
          <t>Balance</t>
        </is>
      </c>
      <c r="G57" s="2" t="inlineStr">
        <is>
          <t>P2</t>
        </is>
      </c>
      <c r="H57" s="2" t="inlineStr">
        <is>
          <t>Done</t>
        </is>
      </c>
      <c r="I57" s="4" t="inlineStr"/>
      <c r="J57" s="2" t="inlineStr">
        <is>
          <t>Design</t>
        </is>
      </c>
      <c r="K57" s="3" t="inlineStr"/>
    </row>
    <row r="58">
      <c r="A58" s="2" t="inlineStr">
        <is>
          <t>T-057</t>
        </is>
      </c>
      <c r="B58" s="2" t="inlineStr">
        <is>
          <t>T-053</t>
        </is>
      </c>
      <c r="C58" s="3" t="inlineStr">
        <is>
          <t xml:space="preserve">    ↳ Barrels reduced</t>
        </is>
      </c>
      <c r="D58" s="2" t="inlineStr">
        <is>
          <t>GBO3</t>
        </is>
      </c>
      <c r="E58" s="2" t="inlineStr">
        <is>
          <t>Components</t>
        </is>
      </c>
      <c r="F58" s="2" t="inlineStr">
        <is>
          <t>Balance</t>
        </is>
      </c>
      <c r="G58" s="2" t="inlineStr">
        <is>
          <t>P2</t>
        </is>
      </c>
      <c r="H58" s="2" t="inlineStr">
        <is>
          <t>Done</t>
        </is>
      </c>
      <c r="I58" s="4" t="inlineStr"/>
      <c r="J58" s="2" t="inlineStr">
        <is>
          <t>Design</t>
        </is>
      </c>
      <c r="K58" s="3" t="inlineStr"/>
    </row>
    <row r="59">
      <c r="A59" s="2" t="inlineStr">
        <is>
          <t>T-058</t>
        </is>
      </c>
      <c r="B59" s="2" t="inlineStr"/>
      <c r="C59" s="3" t="inlineStr">
        <is>
          <t>Rarity weight for components/attachments on Bobby Ray's</t>
        </is>
      </c>
      <c r="D59" s="2" t="inlineStr">
        <is>
          <t>GBO3</t>
        </is>
      </c>
      <c r="E59" s="2" t="inlineStr">
        <is>
          <t>Loot &amp; Economy</t>
        </is>
      </c>
      <c r="F59" s="2" t="inlineStr">
        <is>
          <t>Feature</t>
        </is>
      </c>
      <c r="G59" s="2" t="inlineStr">
        <is>
          <t>P2</t>
        </is>
      </c>
      <c r="H59" s="2" t="inlineStr">
        <is>
          <t>Done</t>
        </is>
      </c>
      <c r="I59" s="4" t="inlineStr"/>
      <c r="J59" s="2" t="inlineStr">
        <is>
          <t>Code/implementation</t>
        </is>
      </c>
      <c r="K59" s="3" t="inlineStr"/>
    </row>
    <row r="60">
      <c r="A60" s="2" t="inlineStr">
        <is>
          <t>T-059</t>
        </is>
      </c>
      <c r="B60" s="2" t="inlineStr"/>
      <c r="C60" s="3" t="inlineStr">
        <is>
          <t>Make components scrappable</t>
        </is>
      </c>
      <c r="D60" s="2" t="inlineStr">
        <is>
          <t>GBO3</t>
        </is>
      </c>
      <c r="E60" s="2" t="inlineStr">
        <is>
          <t>Components</t>
        </is>
      </c>
      <c r="F60" s="2" t="inlineStr">
        <is>
          <t>Feature</t>
        </is>
      </c>
      <c r="G60" s="2" t="inlineStr">
        <is>
          <t>P2</t>
        </is>
      </c>
      <c r="H60" s="2" t="inlineStr">
        <is>
          <t>Done</t>
        </is>
      </c>
      <c r="I60" s="4" t="inlineStr"/>
      <c r="J60" s="2" t="inlineStr">
        <is>
          <t>Code/implementation</t>
        </is>
      </c>
      <c r="K60" s="3" t="inlineStr"/>
    </row>
    <row r="61">
      <c r="A61" s="2" t="inlineStr">
        <is>
          <t>T-060</t>
        </is>
      </c>
      <c r="B61" s="2" t="inlineStr"/>
      <c r="C61" s="3" t="inlineStr">
        <is>
          <t>Compensator per caliber</t>
        </is>
      </c>
      <c r="D61" s="2" t="inlineStr">
        <is>
          <t>GBO3</t>
        </is>
      </c>
      <c r="E61" s="2" t="inlineStr">
        <is>
          <t>Components</t>
        </is>
      </c>
      <c r="F61" s="2" t="inlineStr">
        <is>
          <t>Feature</t>
        </is>
      </c>
      <c r="G61" s="2" t="inlineStr">
        <is>
          <t>P2</t>
        </is>
      </c>
      <c r="H61" s="2" t="inlineStr">
        <is>
          <t>Done</t>
        </is>
      </c>
      <c r="I61" s="4" t="inlineStr"/>
      <c r="J61" s="2" t="inlineStr">
        <is>
          <t>Code/implementation</t>
        </is>
      </c>
      <c r="K61" s="3" t="inlineStr"/>
    </row>
    <row r="62">
      <c r="A62" s="2" t="inlineStr">
        <is>
          <t>T-061</t>
        </is>
      </c>
      <c r="B62" s="2" t="inlineStr"/>
      <c r="C62" s="3" t="inlineStr">
        <is>
          <t>AK-74 bipod not using item</t>
        </is>
      </c>
      <c r="D62" s="2" t="inlineStr">
        <is>
          <t>GBO3</t>
        </is>
      </c>
      <c r="E62" s="2" t="inlineStr">
        <is>
          <t>Components</t>
        </is>
      </c>
      <c r="F62" s="2" t="inlineStr">
        <is>
          <t>Bug</t>
        </is>
      </c>
      <c r="G62" s="2" t="inlineStr">
        <is>
          <t>P2</t>
        </is>
      </c>
      <c r="H62" s="2" t="inlineStr">
        <is>
          <t>Done</t>
        </is>
      </c>
      <c r="I62" s="4" t="inlineStr"/>
      <c r="J62" s="2" t="inlineStr">
        <is>
          <t>Code/implementation</t>
        </is>
      </c>
      <c r="K62" s="3" t="inlineStr"/>
    </row>
    <row r="63">
      <c r="A63" s="2" t="inlineStr">
        <is>
          <t>T-062</t>
        </is>
      </c>
      <c r="B63" s="2" t="inlineStr"/>
      <c r="C63" s="3" t="inlineStr">
        <is>
          <t>Scout suppressor: create one or use the 5.56 one</t>
        </is>
      </c>
      <c r="D63" s="2" t="inlineStr">
        <is>
          <t>GBO3</t>
        </is>
      </c>
      <c r="E63" s="2" t="inlineStr">
        <is>
          <t>Components</t>
        </is>
      </c>
      <c r="F63" s="2" t="inlineStr">
        <is>
          <t>Content</t>
        </is>
      </c>
      <c r="G63" s="2" t="inlineStr">
        <is>
          <t>P3</t>
        </is>
      </c>
      <c r="H63" s="2" t="inlineStr">
        <is>
          <t>Open</t>
        </is>
      </c>
      <c r="I63" s="4" t="inlineStr"/>
      <c r="J63" s="2" t="inlineStr">
        <is>
          <t>Code/implementation</t>
        </is>
      </c>
      <c r="K63" s="3" t="inlineStr"/>
    </row>
    <row r="64">
      <c r="A64" s="2" t="inlineStr">
        <is>
          <t>T-063</t>
        </is>
      </c>
      <c r="B64" s="2" t="inlineStr"/>
      <c r="C64" s="3" t="inlineStr">
        <is>
          <t>Mag modification available even when RevMags is loaded</t>
        </is>
      </c>
      <c r="D64" s="2" t="inlineStr">
        <is>
          <t>GBO3</t>
        </is>
      </c>
      <c r="E64" s="2" t="inlineStr">
        <is>
          <t>Compatibility</t>
        </is>
      </c>
      <c r="F64" s="2" t="inlineStr">
        <is>
          <t>Bug</t>
        </is>
      </c>
      <c r="G64" s="2" t="inlineStr">
        <is>
          <t>P2</t>
        </is>
      </c>
      <c r="H64" s="2" t="inlineStr">
        <is>
          <t>Done</t>
        </is>
      </c>
      <c r="I64" s="4" t="inlineStr"/>
      <c r="J64" s="2" t="inlineStr">
        <is>
          <t>Other (components)</t>
        </is>
      </c>
      <c r="K64" s="3" t="inlineStr"/>
    </row>
    <row r="65">
      <c r="A65" s="2" t="inlineStr">
        <is>
          <t>T-064</t>
        </is>
      </c>
      <c r="B65" s="2" t="inlineStr"/>
      <c r="C65" s="3" t="inlineStr">
        <is>
          <t>Mags visually bugged with RevMags</t>
        </is>
      </c>
      <c r="D65" s="2" t="inlineStr">
        <is>
          <t>GBO3</t>
        </is>
      </c>
      <c r="E65" s="2" t="inlineStr">
        <is>
          <t>Compatibility</t>
        </is>
      </c>
      <c r="F65" s="2" t="inlineStr">
        <is>
          <t>Bug</t>
        </is>
      </c>
      <c r="G65" s="2" t="inlineStr">
        <is>
          <t>P2</t>
        </is>
      </c>
      <c r="H65" s="2" t="inlineStr">
        <is>
          <t>Done</t>
        </is>
      </c>
      <c r="I65" s="4" t="inlineStr"/>
      <c r="J65" s="2" t="inlineStr">
        <is>
          <t>Other (components)</t>
        </is>
      </c>
      <c r="K65" s="3" t="inlineStr"/>
    </row>
    <row r="66">
      <c r="A66" s="2" t="inlineStr">
        <is>
          <t>T-065</t>
        </is>
      </c>
      <c r="B66" s="2" t="inlineStr"/>
      <c r="C66" s="3" t="inlineStr">
        <is>
          <t>Folded stock AP reduction (M11 was bugged)</t>
        </is>
      </c>
      <c r="D66" s="2" t="inlineStr">
        <is>
          <t>GBO3</t>
        </is>
      </c>
      <c r="E66" s="2" t="inlineStr">
        <is>
          <t>Components</t>
        </is>
      </c>
      <c r="F66" s="2" t="inlineStr">
        <is>
          <t>Bug</t>
        </is>
      </c>
      <c r="G66" s="2" t="inlineStr">
        <is>
          <t>P2</t>
        </is>
      </c>
      <c r="H66" s="2" t="inlineStr">
        <is>
          <t>Done</t>
        </is>
      </c>
      <c r="I66" s="4" t="inlineStr"/>
      <c r="J66" s="2" t="inlineStr">
        <is>
          <t>Other (components)</t>
        </is>
      </c>
      <c r="K66" s="3" t="inlineStr"/>
    </row>
    <row r="67">
      <c r="A67" s="2" t="inlineStr">
        <is>
          <t>T-066</t>
        </is>
      </c>
      <c r="B67" s="2" t="inlineStr"/>
      <c r="C67" s="3" t="inlineStr">
        <is>
          <t>SKS extended barrel wrong accuracy param</t>
        </is>
      </c>
      <c r="D67" s="2" t="inlineStr">
        <is>
          <t>GBO3</t>
        </is>
      </c>
      <c r="E67" s="2" t="inlineStr">
        <is>
          <t>Components</t>
        </is>
      </c>
      <c r="F67" s="2" t="inlineStr">
        <is>
          <t>Bug</t>
        </is>
      </c>
      <c r="G67" s="2" t="inlineStr">
        <is>
          <t>P2</t>
        </is>
      </c>
      <c r="H67" s="2" t="inlineStr">
        <is>
          <t>Done</t>
        </is>
      </c>
      <c r="I67" s="4" t="inlineStr"/>
      <c r="J67" s="2" t="inlineStr">
        <is>
          <t>Other (components)</t>
        </is>
      </c>
      <c r="K67" s="3" t="inlineStr">
        <is>
          <t>Original says 'Fixed???' - worth re-verifying</t>
        </is>
      </c>
    </row>
    <row r="68">
      <c r="A68" s="2" t="inlineStr">
        <is>
          <t>T-067</t>
        </is>
      </c>
      <c r="B68" s="2" t="inlineStr"/>
      <c r="C68" s="3" t="inlineStr">
        <is>
          <t>Small threshold bonus for 1.5x scopes</t>
        </is>
      </c>
      <c r="D68" s="2" t="inlineStr">
        <is>
          <t>GBO3</t>
        </is>
      </c>
      <c r="E68" s="2" t="inlineStr">
        <is>
          <t>Components</t>
        </is>
      </c>
      <c r="F68" s="2" t="inlineStr">
        <is>
          <t>Balance</t>
        </is>
      </c>
      <c r="G68" s="2" t="inlineStr">
        <is>
          <t>P3</t>
        </is>
      </c>
      <c r="H68" s="2" t="inlineStr">
        <is>
          <t>Done</t>
        </is>
      </c>
      <c r="I68" s="4" t="inlineStr"/>
      <c r="J68" s="2" t="inlineStr">
        <is>
          <t>Other (components)</t>
        </is>
      </c>
      <c r="K68" s="3" t="inlineStr"/>
    </row>
    <row r="69">
      <c r="A69" s="2" t="inlineStr">
        <is>
          <t>T-068</t>
        </is>
      </c>
      <c r="B69" s="2" t="inlineStr"/>
      <c r="C69" s="3" t="inlineStr">
        <is>
          <t>Change AP scale</t>
        </is>
      </c>
      <c r="D69" s="2" t="inlineStr">
        <is>
          <t>GBO3</t>
        </is>
      </c>
      <c r="E69" s="2" t="inlineStr">
        <is>
          <t>AP Economy</t>
        </is>
      </c>
      <c r="F69" s="2" t="inlineStr">
        <is>
          <t>Feature</t>
        </is>
      </c>
      <c r="G69" s="2" t="inlineStr">
        <is>
          <t>P1</t>
        </is>
      </c>
      <c r="H69" s="2" t="inlineStr">
        <is>
          <t>Done</t>
        </is>
      </c>
      <c r="I69" s="4" t="inlineStr"/>
      <c r="J69" s="2" t="inlineStr">
        <is>
          <t>New mechanics intended</t>
        </is>
      </c>
      <c r="K69" s="3" t="inlineStr"/>
    </row>
    <row r="70">
      <c r="A70" s="2" t="inlineStr">
        <is>
          <t>T-069</t>
        </is>
      </c>
      <c r="B70" s="2" t="inlineStr">
        <is>
          <t>T-068</t>
        </is>
      </c>
      <c r="C70" s="3" t="inlineStr">
        <is>
          <t xml:space="preserve">    ↳ Smooth rotation cost</t>
        </is>
      </c>
      <c r="D70" s="2" t="inlineStr">
        <is>
          <t>GBO3</t>
        </is>
      </c>
      <c r="E70" s="2" t="inlineStr">
        <is>
          <t>AP Economy</t>
        </is>
      </c>
      <c r="F70" s="2" t="inlineStr">
        <is>
          <t>Feature</t>
        </is>
      </c>
      <c r="G70" s="2" t="inlineStr">
        <is>
          <t>P1</t>
        </is>
      </c>
      <c r="H70" s="2" t="inlineStr">
        <is>
          <t>Done</t>
        </is>
      </c>
      <c r="I70" s="4" t="inlineStr"/>
      <c r="J70" s="2" t="inlineStr">
        <is>
          <t>New mechanics intended</t>
        </is>
      </c>
      <c r="K70" s="3" t="inlineStr"/>
    </row>
    <row r="71">
      <c r="A71" s="2" t="inlineStr">
        <is>
          <t>T-070</t>
        </is>
      </c>
      <c r="B71" s="2" t="inlineStr">
        <is>
          <t>T-068</t>
        </is>
      </c>
      <c r="C71" s="3" t="inlineStr">
        <is>
          <t xml:space="preserve">    ↳ Smooth dexterity scaling for manual cycling AP cost</t>
        </is>
      </c>
      <c r="D71" s="2" t="inlineStr">
        <is>
          <t>GBO3</t>
        </is>
      </c>
      <c r="E71" s="2" t="inlineStr">
        <is>
          <t>AP Economy</t>
        </is>
      </c>
      <c r="F71" s="2" t="inlineStr">
        <is>
          <t>Feature</t>
        </is>
      </c>
      <c r="G71" s="2" t="inlineStr">
        <is>
          <t>P1</t>
        </is>
      </c>
      <c r="H71" s="2" t="inlineStr">
        <is>
          <t>Done</t>
        </is>
      </c>
      <c r="I71" s="4" t="inlineStr"/>
      <c r="J71" s="2" t="inlineStr">
        <is>
          <t>New mechanics intended</t>
        </is>
      </c>
      <c r="K71" s="3" t="inlineStr"/>
    </row>
    <row r="72">
      <c r="A72" s="2" t="inlineStr">
        <is>
          <t>T-071</t>
        </is>
      </c>
      <c r="B72" s="2" t="inlineStr">
        <is>
          <t>T-070</t>
        </is>
      </c>
      <c r="C72" s="3" t="inlineStr">
        <is>
          <t xml:space="preserve">        ↳ Retune manual cycling costs</t>
        </is>
      </c>
      <c r="D72" s="2" t="inlineStr">
        <is>
          <t>GBO3</t>
        </is>
      </c>
      <c r="E72" s="2" t="inlineStr">
        <is>
          <t>AP Economy</t>
        </is>
      </c>
      <c r="F72" s="2" t="inlineStr">
        <is>
          <t>Balance</t>
        </is>
      </c>
      <c r="G72" s="2" t="inlineStr">
        <is>
          <t>P1</t>
        </is>
      </c>
      <c r="H72" s="2" t="inlineStr">
        <is>
          <t>Done</t>
        </is>
      </c>
      <c r="I72" s="4" t="inlineStr"/>
      <c r="J72" s="2" t="inlineStr">
        <is>
          <t>New mechanics intended</t>
        </is>
      </c>
      <c r="K72" s="3" t="inlineStr"/>
    </row>
    <row r="73">
      <c r="A73" s="2" t="inlineStr">
        <is>
          <t>T-072</t>
        </is>
      </c>
      <c r="B73" s="2" t="inlineStr"/>
      <c r="C73" s="3" t="inlineStr">
        <is>
          <t>Autofire shot count</t>
        </is>
      </c>
      <c r="D73" s="2" t="inlineStr">
        <is>
          <t>GBO3</t>
        </is>
      </c>
      <c r="E73" s="2" t="inlineStr">
        <is>
          <t>Fire Modes</t>
        </is>
      </c>
      <c r="F73" s="2" t="inlineStr">
        <is>
          <t>Feature</t>
        </is>
      </c>
      <c r="G73" s="2" t="inlineStr">
        <is>
          <t>P1</t>
        </is>
      </c>
      <c r="H73" s="2" t="inlineStr">
        <is>
          <t>Done</t>
        </is>
      </c>
      <c r="I73" s="4" t="inlineStr"/>
      <c r="J73" s="2" t="inlineStr">
        <is>
          <t>New mechanics intended</t>
        </is>
      </c>
      <c r="K73" s="3" t="inlineStr"/>
    </row>
    <row r="74">
      <c r="A74" s="2" t="inlineStr">
        <is>
          <t>T-073</t>
        </is>
      </c>
      <c r="B74" s="2" t="inlineStr"/>
      <c r="C74" s="3" t="inlineStr">
        <is>
          <t>MG recoil/setup rework</t>
        </is>
      </c>
      <c r="D74" s="2" t="inlineStr">
        <is>
          <t>GBO3</t>
        </is>
      </c>
      <c r="E74" s="2" t="inlineStr">
        <is>
          <t>Recoil</t>
        </is>
      </c>
      <c r="F74" s="2" t="inlineStr">
        <is>
          <t>Feature</t>
        </is>
      </c>
      <c r="G74" s="2" t="inlineStr">
        <is>
          <t>P1</t>
        </is>
      </c>
      <c r="H74" s="2" t="inlineStr">
        <is>
          <t>Needs testing</t>
        </is>
      </c>
      <c r="I74" s="4" t="inlineStr"/>
      <c r="J74" s="2" t="inlineStr">
        <is>
          <t>New mechanics intended</t>
        </is>
      </c>
      <c r="K74" s="3" t="inlineStr">
        <is>
          <t>Original: 'needs further testing'</t>
        </is>
      </c>
    </row>
    <row r="75">
      <c r="A75" s="2" t="inlineStr">
        <is>
          <t>T-074</t>
        </is>
      </c>
      <c r="B75" s="2" t="inlineStr"/>
      <c r="C75" s="3" t="inlineStr">
        <is>
          <t>Elliptical crouch/prone effect on aperture</t>
        </is>
      </c>
      <c r="D75" s="2" t="inlineStr">
        <is>
          <t>GBO3</t>
        </is>
      </c>
      <c r="E75" s="2" t="inlineStr">
        <is>
          <t>Accuracy</t>
        </is>
      </c>
      <c r="F75" s="2" t="inlineStr">
        <is>
          <t>Feature</t>
        </is>
      </c>
      <c r="G75" s="2" t="inlineStr">
        <is>
          <t>P1</t>
        </is>
      </c>
      <c r="H75" s="2" t="inlineStr">
        <is>
          <t>Done</t>
        </is>
      </c>
      <c r="I75" s="4" t="inlineStr"/>
      <c r="J75" s="2" t="inlineStr">
        <is>
          <t>New mechanics intended</t>
        </is>
      </c>
      <c r="K75" s="3" t="inlineStr"/>
    </row>
    <row r="76">
      <c r="A76" s="2" t="inlineStr">
        <is>
          <t>T-075</t>
        </is>
      </c>
      <c r="B76" s="2" t="inlineStr"/>
      <c r="C76" s="3" t="inlineStr">
        <is>
          <t>Rotating while prone costs more after the initial angle</t>
        </is>
      </c>
      <c r="D76" s="2" t="inlineStr">
        <is>
          <t>GBO3</t>
        </is>
      </c>
      <c r="E76" s="2" t="inlineStr">
        <is>
          <t>AP Economy</t>
        </is>
      </c>
      <c r="F76" s="2" t="inlineStr">
        <is>
          <t>Feature</t>
        </is>
      </c>
      <c r="G76" s="2" t="inlineStr">
        <is>
          <t>P3</t>
        </is>
      </c>
      <c r="H76" s="2" t="inlineStr">
        <is>
          <t>Open</t>
        </is>
      </c>
      <c r="I76" s="4" t="inlineStr"/>
      <c r="J76" s="2" t="inlineStr">
        <is>
          <t>New mechanics intended</t>
        </is>
      </c>
      <c r="K76" s="3" t="inlineStr"/>
    </row>
    <row r="77">
      <c r="A77" s="2" t="inlineStr">
        <is>
          <t>T-076</t>
        </is>
      </c>
      <c r="B77" s="2" t="inlineStr"/>
      <c r="C77" s="3" t="inlineStr">
        <is>
          <t>Safety mechanism so discontinued guns keep their patching (save safety)</t>
        </is>
      </c>
      <c r="D77" s="2" t="inlineStr">
        <is>
          <t>ToG Patch</t>
        </is>
      </c>
      <c r="E77" s="2" t="inlineStr">
        <is>
          <t>Compatibility</t>
        </is>
      </c>
      <c r="F77" s="2" t="inlineStr">
        <is>
          <t>Feature</t>
        </is>
      </c>
      <c r="G77" s="2" t="inlineStr">
        <is>
          <t>P1</t>
        </is>
      </c>
      <c r="H77" s="2" t="inlineStr">
        <is>
          <t>Done</t>
        </is>
      </c>
      <c r="I77" s="4" t="inlineStr"/>
      <c r="J77" s="2" t="inlineStr">
        <is>
          <t>ToG - Code</t>
        </is>
      </c>
      <c r="K77" s="3" t="inlineStr"/>
    </row>
    <row r="78">
      <c r="A78" s="2" t="inlineStr">
        <is>
          <t>T-077</t>
        </is>
      </c>
      <c r="B78" s="2" t="inlineStr"/>
      <c r="C78" s="3" t="inlineStr">
        <is>
          <t>Barry shaped charge too sensitive to alterations; increase angle</t>
        </is>
      </c>
      <c r="D78" s="2" t="inlineStr">
        <is>
          <t>Explosive Overhaul</t>
        </is>
      </c>
      <c r="E78" s="2" t="inlineStr">
        <is>
          <t>Explosives</t>
        </is>
      </c>
      <c r="F78" s="2" t="inlineStr">
        <is>
          <t>Balance</t>
        </is>
      </c>
      <c r="G78" s="2" t="inlineStr">
        <is>
          <t>P2</t>
        </is>
      </c>
      <c r="H78" s="2" t="inlineStr">
        <is>
          <t>Open</t>
        </is>
      </c>
      <c r="I78" s="4" t="inlineStr"/>
      <c r="J78" s="2" t="inlineStr">
        <is>
          <t>EO</t>
        </is>
      </c>
      <c r="K78" s="3" t="inlineStr"/>
    </row>
    <row r="79">
      <c r="A79" s="2" t="inlineStr">
        <is>
          <t>T-078</t>
        </is>
      </c>
      <c r="B79" s="2" t="inlineStr"/>
      <c r="C79" s="3" t="inlineStr">
        <is>
          <t>Shotgun pellets interaction with GunsHurt option</t>
        </is>
      </c>
      <c r="D79" s="2" t="inlineStr">
        <is>
          <t>GBO3</t>
        </is>
      </c>
      <c r="E79" s="2" t="inlineStr">
        <is>
          <t>Shotguns</t>
        </is>
      </c>
      <c r="F79" s="2" t="inlineStr">
        <is>
          <t>Investigation</t>
        </is>
      </c>
      <c r="G79" s="2" t="inlineStr">
        <is>
          <t>P2</t>
        </is>
      </c>
      <c r="H79" s="2" t="inlineStr">
        <is>
          <t>Open</t>
        </is>
      </c>
      <c r="I79" s="4" t="inlineStr"/>
      <c r="J79" s="2" t="inlineStr">
        <is>
          <t>Other balancing</t>
        </is>
      </c>
      <c r="K79" s="3" t="inlineStr"/>
    </row>
    <row r="80">
      <c r="A80" s="2" t="inlineStr">
        <is>
          <t>T-079</t>
        </is>
      </c>
      <c r="B80" s="2" t="inlineStr"/>
      <c r="C80" s="3" t="inlineStr">
        <is>
          <t>Shotgun pellet balancing and spread (duckbill etc.)</t>
        </is>
      </c>
      <c r="D80" s="2" t="inlineStr">
        <is>
          <t>GBO3</t>
        </is>
      </c>
      <c r="E80" s="2" t="inlineStr">
        <is>
          <t>Shotguns</t>
        </is>
      </c>
      <c r="F80" s="2" t="inlineStr">
        <is>
          <t>Balance</t>
        </is>
      </c>
      <c r="G80" s="2" t="inlineStr">
        <is>
          <t>P2</t>
        </is>
      </c>
      <c r="H80" s="2" t="inlineStr">
        <is>
          <t>Open</t>
        </is>
      </c>
      <c r="I80" s="4" t="inlineStr"/>
      <c r="J80" s="2" t="inlineStr">
        <is>
          <t>Other balancing</t>
        </is>
      </c>
      <c r="K80" s="3" t="inlineStr"/>
    </row>
    <row r="81">
      <c r="A81" s="2" t="inlineStr">
        <is>
          <t>T-080</t>
        </is>
      </c>
      <c r="B81" s="2" t="inlineStr"/>
      <c r="C81" s="3" t="inlineStr">
        <is>
          <t>Slug damage?</t>
        </is>
      </c>
      <c r="D81" s="2" t="inlineStr">
        <is>
          <t>GBO3</t>
        </is>
      </c>
      <c r="E81" s="2" t="inlineStr">
        <is>
          <t>Shotguns</t>
        </is>
      </c>
      <c r="F81" s="2" t="inlineStr">
        <is>
          <t>Balance</t>
        </is>
      </c>
      <c r="G81" s="2" t="inlineStr">
        <is>
          <t>P3</t>
        </is>
      </c>
      <c r="H81" s="2" t="inlineStr">
        <is>
          <t>Open</t>
        </is>
      </c>
      <c r="I81" s="4" t="inlineStr"/>
      <c r="J81" s="2" t="inlineStr">
        <is>
          <t>Other balancing</t>
        </is>
      </c>
      <c r="K81" s="3" t="inlineStr"/>
    </row>
    <row r="82">
      <c r="A82" s="2" t="inlineStr">
        <is>
          <t>T-081</t>
        </is>
      </c>
      <c r="B82" s="2" t="inlineStr"/>
      <c r="C82" s="3" t="inlineStr">
        <is>
          <t>Overwatch tuning (minor)</t>
        </is>
      </c>
      <c r="D82" s="2" t="inlineStr">
        <is>
          <t>GBO3</t>
        </is>
      </c>
      <c r="E82" s="2" t="inlineStr">
        <is>
          <t>Overwatch</t>
        </is>
      </c>
      <c r="F82" s="2" t="inlineStr">
        <is>
          <t>Balance</t>
        </is>
      </c>
      <c r="G82" s="2" t="inlineStr">
        <is>
          <t>P3</t>
        </is>
      </c>
      <c r="H82" s="2" t="inlineStr">
        <is>
          <t>Open</t>
        </is>
      </c>
      <c r="I82" s="4" t="inlineStr"/>
      <c r="J82" s="2" t="inlineStr">
        <is>
          <t>Other balancing</t>
        </is>
      </c>
      <c r="K82" s="3" t="inlineStr">
        <is>
          <t>Ideas: costlier action, tighter OW cone, 3 aim levels</t>
        </is>
      </c>
    </row>
    <row r="83">
      <c r="A83" s="2" t="inlineStr">
        <is>
          <t>T-082</t>
        </is>
      </c>
      <c r="B83" s="2" t="inlineStr"/>
      <c r="C83" s="3" t="inlineStr">
        <is>
          <t>Change Grizzly melee perk to recoil or other</t>
        </is>
      </c>
      <c r="D83" s="2" t="inlineStr">
        <is>
          <t>GBO3</t>
        </is>
      </c>
      <c r="E83" s="2" t="inlineStr">
        <is>
          <t>Perks &amp; Traits</t>
        </is>
      </c>
      <c r="F83" s="2" t="inlineStr">
        <is>
          <t>Balance</t>
        </is>
      </c>
      <c r="G83" s="2" t="inlineStr">
        <is>
          <t>P2</t>
        </is>
      </c>
      <c r="H83" s="2" t="inlineStr">
        <is>
          <t>Done</t>
        </is>
      </c>
      <c r="I83" s="4" t="inlineStr"/>
      <c r="J83" s="2" t="inlineStr">
        <is>
          <t>Other balancing</t>
        </is>
      </c>
      <c r="K83" s="3" t="inlineStr"/>
    </row>
    <row r="84">
      <c r="A84" s="2" t="inlineStr">
        <is>
          <t>T-083</t>
        </is>
      </c>
      <c r="B84" s="2" t="inlineStr"/>
      <c r="C84" s="3" t="inlineStr">
        <is>
          <t>Fix Shooting Stance animation, esp. mobile attack</t>
        </is>
      </c>
      <c r="D84" s="2" t="inlineStr">
        <is>
          <t>GBO3</t>
        </is>
      </c>
      <c r="E84" s="2" t="inlineStr">
        <is>
          <t>Animation</t>
        </is>
      </c>
      <c r="F84" s="2" t="inlineStr">
        <is>
          <t>Bug</t>
        </is>
      </c>
      <c r="G84" s="2" t="inlineStr">
        <is>
          <t>P2</t>
        </is>
      </c>
      <c r="H84" s="2" t="inlineStr">
        <is>
          <t>Done</t>
        </is>
      </c>
      <c r="I84" s="4" t="inlineStr"/>
      <c r="J84" s="2" t="inlineStr">
        <is>
          <t>QOL</t>
        </is>
      </c>
      <c r="K84" s="3" t="inlineStr"/>
    </row>
    <row r="85">
      <c r="A85" s="2" t="inlineStr">
        <is>
          <t>T-084</t>
        </is>
      </c>
      <c r="B85" s="2" t="inlineStr"/>
      <c r="C85" s="3" t="inlineStr">
        <is>
          <t>Crosshair AP cost breakdown refactor (clearer stance AP display)</t>
        </is>
      </c>
      <c r="D85" s="2" t="inlineStr">
        <is>
          <t>GBO3</t>
        </is>
      </c>
      <c r="E85" s="2" t="inlineStr">
        <is>
          <t>UI &amp; Descriptions</t>
        </is>
      </c>
      <c r="F85" s="2" t="inlineStr">
        <is>
          <t>UX</t>
        </is>
      </c>
      <c r="G85" s="2" t="inlineStr">
        <is>
          <t>P2</t>
        </is>
      </c>
      <c r="H85" s="2" t="inlineStr">
        <is>
          <t>Done</t>
        </is>
      </c>
      <c r="I85" s="4" t="inlineStr"/>
      <c r="J85" s="2" t="inlineStr">
        <is>
          <t>QOL</t>
        </is>
      </c>
      <c r="K85" s="3" t="inlineStr"/>
    </row>
    <row r="86">
      <c r="A86" s="2" t="inlineStr">
        <is>
          <t>T-085</t>
        </is>
      </c>
      <c r="B86" s="2" t="inlineStr"/>
      <c r="C86" s="3" t="inlineStr">
        <is>
          <t>F1 in-game 'wiki'</t>
        </is>
      </c>
      <c r="D86" s="2" t="inlineStr">
        <is>
          <t>GBO3</t>
        </is>
      </c>
      <c r="E86" s="2" t="inlineStr">
        <is>
          <t>UI &amp; Descriptions</t>
        </is>
      </c>
      <c r="F86" s="2" t="inlineStr">
        <is>
          <t>Feature</t>
        </is>
      </c>
      <c r="G86" s="2" t="inlineStr">
        <is>
          <t>P3</t>
        </is>
      </c>
      <c r="H86" s="2" t="inlineStr">
        <is>
          <t>Open</t>
        </is>
      </c>
      <c r="I86" s="4" t="inlineStr"/>
      <c r="J86" s="2" t="inlineStr">
        <is>
          <t>QOL</t>
        </is>
      </c>
      <c r="K86" s="3" t="inlineStr"/>
    </row>
    <row r="87">
      <c r="A87" s="2" t="inlineStr">
        <is>
          <t>T-086</t>
        </is>
      </c>
      <c r="B87" s="2" t="inlineStr"/>
      <c r="C87" s="3" t="inlineStr">
        <is>
          <t>Take-cover grazing hits show as Fog in floating text</t>
        </is>
      </c>
      <c r="D87" s="2" t="inlineStr">
        <is>
          <t>GBO3</t>
        </is>
      </c>
      <c r="E87" s="2" t="inlineStr">
        <is>
          <t>UI &amp; Descriptions</t>
        </is>
      </c>
      <c r="F87" s="2" t="inlineStr">
        <is>
          <t>Bug</t>
        </is>
      </c>
      <c r="G87" s="2" t="inlineStr">
        <is>
          <t>P3</t>
        </is>
      </c>
      <c r="H87" s="2" t="inlineStr">
        <is>
          <t>Done</t>
        </is>
      </c>
      <c r="I87" s="4" t="inlineStr"/>
      <c r="J87" s="2" t="inlineStr">
        <is>
          <t>QOL</t>
        </is>
      </c>
      <c r="K87" s="3" t="inlineStr"/>
    </row>
    <row r="88">
      <c r="A88" s="2" t="inlineStr">
        <is>
          <t>T-087</t>
        </is>
      </c>
      <c r="B88" s="2" t="inlineStr"/>
      <c r="C88" s="3" t="inlineStr">
        <is>
          <t>Handling scaling to make merc accuracy less random / less enemy-biased</t>
        </is>
      </c>
      <c r="D88" s="2" t="inlineStr">
        <is>
          <t>GBO3</t>
        </is>
      </c>
      <c r="E88" s="2" t="inlineStr">
        <is>
          <t>Accuracy</t>
        </is>
      </c>
      <c r="F88" s="2" t="inlineStr">
        <is>
          <t>Balance</t>
        </is>
      </c>
      <c r="G88" s="2" t="inlineStr">
        <is>
          <t>P3</t>
        </is>
      </c>
      <c r="H88" s="2" t="inlineStr">
        <is>
          <t>Open</t>
        </is>
      </c>
      <c r="I88" s="4" t="inlineStr"/>
      <c r="J88" s="2" t="inlineStr">
        <is>
          <t>aCTH fragilities</t>
        </is>
      </c>
      <c r="K88" s="3" t="inlineStr">
        <is>
          <t>'Maybe' in original</t>
        </is>
      </c>
    </row>
    <row r="89">
      <c r="A89" s="2" t="inlineStr">
        <is>
          <t>T-088</t>
        </is>
      </c>
      <c r="B89" s="2" t="inlineStr"/>
      <c r="C89" s="3" t="inlineStr">
        <is>
          <t>Pellets (and maybe other projectiles) can hit the shooter at adjacent range</t>
        </is>
      </c>
      <c r="D89" s="2" t="inlineStr">
        <is>
          <t>GBO3</t>
        </is>
      </c>
      <c r="E89" s="2" t="inlineStr">
        <is>
          <t>Accuracy</t>
        </is>
      </c>
      <c r="F89" s="2" t="inlineStr">
        <is>
          <t>Bug</t>
        </is>
      </c>
      <c r="G89" s="2" t="inlineStr">
        <is>
          <t>P1</t>
        </is>
      </c>
      <c r="H89" s="2" t="inlineStr">
        <is>
          <t>Open</t>
        </is>
      </c>
      <c r="I89" s="4" t="inlineStr"/>
      <c r="J89" s="2" t="inlineStr">
        <is>
          <t>aCTH fragilities</t>
        </is>
      </c>
      <c r="K89" s="3" t="inlineStr">
        <is>
          <t>Marked Important; vector must not touch shooter</t>
        </is>
      </c>
    </row>
    <row r="90">
      <c r="A90" s="2" t="inlineStr">
        <is>
          <t>T-089</t>
        </is>
      </c>
      <c r="B90" s="2" t="inlineStr"/>
      <c r="C90" s="3" t="inlineStr">
        <is>
          <t>Enemies try to shoot through the floor (run and gun)</t>
        </is>
      </c>
      <c r="D90" s="2" t="inlineStr">
        <is>
          <t>GBO3</t>
        </is>
      </c>
      <c r="E90" s="2" t="inlineStr">
        <is>
          <t>Accuracy</t>
        </is>
      </c>
      <c r="F90" s="2" t="inlineStr">
        <is>
          <t>Bug</t>
        </is>
      </c>
      <c r="G90" s="2" t="inlineStr">
        <is>
          <t>P1</t>
        </is>
      </c>
      <c r="H90" s="2" t="inlineStr">
        <is>
          <t>Open</t>
        </is>
      </c>
      <c r="I90" s="4" t="inlineStr"/>
      <c r="J90" s="2" t="inlineStr">
        <is>
          <t>aCTH fragilities</t>
        </is>
      </c>
      <c r="K90" s="3" t="inlineStr">
        <is>
          <t>Repro savegame exists</t>
        </is>
      </c>
    </row>
    <row r="91">
      <c r="A91" s="2" t="inlineStr">
        <is>
          <t>T-090</t>
        </is>
      </c>
      <c r="B91" s="2" t="inlineStr"/>
      <c r="C91" s="3" t="inlineStr">
        <is>
          <t>Switching to old CTH doesn't update component Aim Acc already applied</t>
        </is>
      </c>
      <c r="D91" s="2" t="inlineStr">
        <is>
          <t>GBO3</t>
        </is>
      </c>
      <c r="E91" s="2" t="inlineStr">
        <is>
          <t>Components</t>
        </is>
      </c>
      <c r="F91" s="2" t="inlineStr">
        <is>
          <t>Bug</t>
        </is>
      </c>
      <c r="G91" s="2" t="inlineStr">
        <is>
          <t>P2</t>
        </is>
      </c>
      <c r="H91" s="2" t="inlineStr">
        <is>
          <t>Done</t>
        </is>
      </c>
      <c r="I91" s="4" t="inlineStr"/>
      <c r="J91" s="2" t="inlineStr">
        <is>
          <t>aCTH fragilities</t>
        </is>
      </c>
      <c r="K91" s="3" t="inlineStr"/>
    </row>
    <row r="92">
      <c r="A92" s="2" t="inlineStr">
        <is>
          <t>T-091</t>
        </is>
      </c>
      <c r="B92" s="2" t="inlineStr"/>
      <c r="C92" s="3" t="inlineStr">
        <is>
          <t>Kalyna missed a shot in old-CTH overwatch but it hit?</t>
        </is>
      </c>
      <c r="D92" s="2" t="inlineStr">
        <is>
          <t>GBO3</t>
        </is>
      </c>
      <c r="E92" s="2" t="inlineStr">
        <is>
          <t>Overwatch</t>
        </is>
      </c>
      <c r="F92" s="2" t="inlineStr">
        <is>
          <t>Bug</t>
        </is>
      </c>
      <c r="G92" s="2" t="inlineStr">
        <is>
          <t>P2</t>
        </is>
      </c>
      <c r="H92" s="2" t="inlineStr">
        <is>
          <t>Open</t>
        </is>
      </c>
      <c r="I92" s="4" t="inlineStr"/>
      <c r="J92" s="2" t="inlineStr">
        <is>
          <t>aCTH fragilities</t>
        </is>
      </c>
      <c r="K92" s="3" t="inlineStr">
        <is>
          <t>Needs investigation</t>
        </is>
      </c>
    </row>
    <row r="93">
      <c r="A93" s="2" t="inlineStr">
        <is>
          <t>T-092</t>
        </is>
      </c>
      <c r="B93" s="2" t="inlineStr"/>
      <c r="C93" s="3" t="inlineStr">
        <is>
          <t>Reflexes not affecting hipfire/snapshot in aCTH</t>
        </is>
      </c>
      <c r="D93" s="2" t="inlineStr">
        <is>
          <t>GBO3</t>
        </is>
      </c>
      <c r="E93" s="2" t="inlineStr">
        <is>
          <t>Accuracy</t>
        </is>
      </c>
      <c r="F93" s="2" t="inlineStr">
        <is>
          <t>Bug</t>
        </is>
      </c>
      <c r="G93" s="2" t="inlineStr">
        <is>
          <t>P2</t>
        </is>
      </c>
      <c r="H93" s="2" t="inlineStr">
        <is>
          <t>Done</t>
        </is>
      </c>
      <c r="I93" s="4" t="inlineStr"/>
      <c r="J93" s="2" t="inlineStr">
        <is>
          <t>aCTH fragilities</t>
        </is>
      </c>
      <c r="K93" s="3" t="inlineStr"/>
    </row>
    <row r="94">
      <c r="A94" s="2" t="inlineStr">
        <is>
          <t>T-093</t>
        </is>
      </c>
      <c r="B94" s="2" t="inlineStr"/>
      <c r="C94" s="3" t="inlineStr">
        <is>
          <t>Verify graphic display of single-shot recoil; review burst too</t>
        </is>
      </c>
      <c r="D94" s="2" t="inlineStr">
        <is>
          <t>GBO3</t>
        </is>
      </c>
      <c r="E94" s="2" t="inlineStr">
        <is>
          <t>Recoil</t>
        </is>
      </c>
      <c r="F94" s="2" t="inlineStr">
        <is>
          <t>Investigation</t>
        </is>
      </c>
      <c r="G94" s="2" t="inlineStr">
        <is>
          <t>P2</t>
        </is>
      </c>
      <c r="H94" s="2" t="inlineStr">
        <is>
          <t>Open</t>
        </is>
      </c>
      <c r="I94" s="4" t="inlineStr"/>
      <c r="J94" s="2" t="inlineStr">
        <is>
          <t>aCTH fragilities</t>
        </is>
      </c>
      <c r="K94" s="3" t="inlineStr"/>
    </row>
    <row r="95">
      <c r="A95" s="2" t="inlineStr">
        <is>
          <t>T-094</t>
        </is>
      </c>
      <c r="B95" s="2" t="inlineStr"/>
      <c r="C95" s="3" t="inlineStr">
        <is>
          <t>Prone overwatch vs hyenas had abysmal CTH at close range; no-LOS still triggers OW</t>
        </is>
      </c>
      <c r="D95" s="2" t="inlineStr">
        <is>
          <t>GBO3</t>
        </is>
      </c>
      <c r="E95" s="2" t="inlineStr">
        <is>
          <t>Overwatch</t>
        </is>
      </c>
      <c r="F95" s="2" t="inlineStr">
        <is>
          <t>Bug</t>
        </is>
      </c>
      <c r="G95" s="2" t="inlineStr">
        <is>
          <t>P1</t>
        </is>
      </c>
      <c r="H95" s="2" t="inlineStr">
        <is>
          <t>Open</t>
        </is>
      </c>
      <c r="I95" s="4" t="inlineStr"/>
      <c r="J95" s="2" t="inlineStr">
        <is>
          <t>aCTH fragilities</t>
        </is>
      </c>
      <c r="K95" s="3" t="inlineStr"/>
    </row>
    <row r="96">
      <c r="A96" s="2" t="inlineStr">
        <is>
          <t>T-095</t>
        </is>
      </c>
      <c r="B96" s="2" t="inlineStr"/>
      <c r="C96" s="3" t="inlineStr">
        <is>
          <t>Make sure aCTH lite works as intended</t>
        </is>
      </c>
      <c r="D96" s="2" t="inlineStr">
        <is>
          <t>GBO3</t>
        </is>
      </c>
      <c r="E96" s="2" t="inlineStr">
        <is>
          <t>Accuracy</t>
        </is>
      </c>
      <c r="F96" s="2" t="inlineStr">
        <is>
          <t>QA</t>
        </is>
      </c>
      <c r="G96" s="2" t="inlineStr">
        <is>
          <t>P1</t>
        </is>
      </c>
      <c r="H96" s="2" t="inlineStr">
        <is>
          <t>Open</t>
        </is>
      </c>
      <c r="I96" s="4" t="inlineStr"/>
      <c r="J96" s="2" t="inlineStr">
        <is>
          <t>aCTH fragilities</t>
        </is>
      </c>
      <c r="K96" s="3" t="inlineStr">
        <is>
          <t>Bold in original</t>
        </is>
      </c>
    </row>
    <row r="97">
      <c r="A97" s="2" t="inlineStr">
        <is>
          <t>T-096</t>
        </is>
      </c>
      <c r="B97" s="2" t="inlineStr"/>
      <c r="C97" s="3" t="inlineStr">
        <is>
          <t>Check behavior against non-humanoids</t>
        </is>
      </c>
      <c r="D97" s="2" t="inlineStr">
        <is>
          <t>GBO3</t>
        </is>
      </c>
      <c r="E97" s="2" t="inlineStr">
        <is>
          <t>Accuracy</t>
        </is>
      </c>
      <c r="F97" s="2" t="inlineStr">
        <is>
          <t>QA</t>
        </is>
      </c>
      <c r="G97" s="2" t="inlineStr">
        <is>
          <t>P2</t>
        </is>
      </c>
      <c r="H97" s="2" t="inlineStr">
        <is>
          <t>Done</t>
        </is>
      </c>
      <c r="I97" s="4" t="inlineStr"/>
      <c r="J97" s="2" t="inlineStr">
        <is>
          <t>aCTH fragilities</t>
        </is>
      </c>
      <c r="K97" s="3" t="inlineStr"/>
    </row>
    <row r="98">
      <c r="A98" s="2" t="inlineStr">
        <is>
          <t>T-097</t>
        </is>
      </c>
      <c r="B98" s="2" t="inlineStr"/>
      <c r="C98" s="3" t="inlineStr">
        <is>
          <t>Ricochets still work?</t>
        </is>
      </c>
      <c r="D98" s="2" t="inlineStr">
        <is>
          <t>GBO3</t>
        </is>
      </c>
      <c r="E98" s="2" t="inlineStr">
        <is>
          <t>Accuracy</t>
        </is>
      </c>
      <c r="F98" s="2" t="inlineStr">
        <is>
          <t>QA</t>
        </is>
      </c>
      <c r="G98" s="2" t="inlineStr">
        <is>
          <t>P2</t>
        </is>
      </c>
      <c r="H98" s="2" t="inlineStr">
        <is>
          <t>Done</t>
        </is>
      </c>
      <c r="I98" s="4" t="inlineStr"/>
      <c r="J98" s="2" t="inlineStr">
        <is>
          <t>aCTH fragilities</t>
        </is>
      </c>
      <c r="K98" s="3" t="inlineStr"/>
    </row>
    <row r="99">
      <c r="A99" s="2" t="inlineStr">
        <is>
          <t>T-098</t>
        </is>
      </c>
      <c r="B99" s="2" t="inlineStr"/>
      <c r="C99" s="3" t="inlineStr">
        <is>
          <t>Check ricochet damage reduction still applies</t>
        </is>
      </c>
      <c r="D99" s="2" t="inlineStr">
        <is>
          <t>GBO3</t>
        </is>
      </c>
      <c r="E99" s="2" t="inlineStr">
        <is>
          <t>Accuracy</t>
        </is>
      </c>
      <c r="F99" s="2" t="inlineStr">
        <is>
          <t>QA</t>
        </is>
      </c>
      <c r="G99" s="2" t="inlineStr">
        <is>
          <t>P2</t>
        </is>
      </c>
      <c r="H99" s="2" t="inlineStr">
        <is>
          <t>Open</t>
        </is>
      </c>
      <c r="I99" s="4" t="inlineStr"/>
      <c r="J99" s="2" t="inlineStr">
        <is>
          <t>aCTH fragilities</t>
        </is>
      </c>
      <c r="K99" s="3" t="inlineStr"/>
    </row>
    <row r="100">
      <c r="A100" s="2" t="inlineStr">
        <is>
          <t>T-099</t>
        </is>
      </c>
      <c r="B100" s="2" t="inlineStr"/>
      <c r="C100" s="3" t="inlineStr">
        <is>
          <t>Aim in interrupt showed 0 levels</t>
        </is>
      </c>
      <c r="D100" s="2" t="inlineStr">
        <is>
          <t>GBO3</t>
        </is>
      </c>
      <c r="E100" s="2" t="inlineStr">
        <is>
          <t>Accuracy</t>
        </is>
      </c>
      <c r="F100" s="2" t="inlineStr">
        <is>
          <t>Bug</t>
        </is>
      </c>
      <c r="G100" s="2" t="inlineStr">
        <is>
          <t>P2</t>
        </is>
      </c>
      <c r="H100" s="2" t="inlineStr">
        <is>
          <t>Done</t>
        </is>
      </c>
      <c r="I100" s="4" t="inlineStr"/>
      <c r="J100" s="2" t="inlineStr">
        <is>
          <t>aCTH fragilities</t>
        </is>
      </c>
      <c r="K100" s="3" t="inlineStr"/>
    </row>
    <row r="101">
      <c r="A101" s="2" t="inlineStr">
        <is>
          <t>T-100</t>
        </is>
      </c>
      <c r="B101" s="2" t="inlineStr"/>
      <c r="C101" s="3" t="inlineStr">
        <is>
          <t>Strange collision when shooting from above at very close range</t>
        </is>
      </c>
      <c r="D101" s="2" t="inlineStr">
        <is>
          <t>GBO3</t>
        </is>
      </c>
      <c r="E101" s="2" t="inlineStr">
        <is>
          <t>Accuracy</t>
        </is>
      </c>
      <c r="F101" s="2" t="inlineStr">
        <is>
          <t>Bug</t>
        </is>
      </c>
      <c r="G101" s="2" t="inlineStr">
        <is>
          <t>P2</t>
        </is>
      </c>
      <c r="H101" s="2" t="inlineStr">
        <is>
          <t>Done</t>
        </is>
      </c>
      <c r="I101" s="4" t="inlineStr"/>
      <c r="J101" s="2" t="inlineStr">
        <is>
          <t>aCTH fragilities</t>
        </is>
      </c>
      <c r="K101" s="3" t="inlineStr"/>
    </row>
    <row r="102">
      <c r="A102" s="2" t="inlineStr">
        <is>
          <t>T-101</t>
        </is>
      </c>
      <c r="B102" s="2" t="inlineStr"/>
      <c r="C102" s="3" t="inlineStr">
        <is>
          <t>Shotgun: kill reported without any 'attack hit' striking the unit</t>
        </is>
      </c>
      <c r="D102" s="2" t="inlineStr">
        <is>
          <t>GBO3</t>
        </is>
      </c>
      <c r="E102" s="2" t="inlineStr">
        <is>
          <t>Shotguns</t>
        </is>
      </c>
      <c r="F102" s="2" t="inlineStr">
        <is>
          <t>Bug</t>
        </is>
      </c>
      <c r="G102" s="2" t="inlineStr">
        <is>
          <t>P1</t>
        </is>
      </c>
      <c r="H102" s="2" t="inlineStr">
        <is>
          <t>Done</t>
        </is>
      </c>
      <c r="I102" s="4" t="inlineStr"/>
      <c r="J102" s="2" t="inlineStr">
        <is>
          <t>aCTH fragilities</t>
        </is>
      </c>
      <c r="K102" s="3" t="inlineStr"/>
    </row>
    <row r="103">
      <c r="A103" s="2" t="inlineStr">
        <is>
          <t>T-102</t>
        </is>
      </c>
      <c r="B103" s="2" t="inlineStr"/>
      <c r="C103" s="3" t="inlineStr">
        <is>
          <t>Out of breath impact on aim</t>
        </is>
      </c>
      <c r="D103" s="2" t="inlineStr">
        <is>
          <t>GBO3</t>
        </is>
      </c>
      <c r="E103" s="2" t="inlineStr">
        <is>
          <t>Accuracy</t>
        </is>
      </c>
      <c r="F103" s="2" t="inlineStr">
        <is>
          <t>Feature</t>
        </is>
      </c>
      <c r="G103" s="2" t="inlineStr">
        <is>
          <t>P1</t>
        </is>
      </c>
      <c r="H103" s="2" t="inlineStr">
        <is>
          <t>Done</t>
        </is>
      </c>
      <c r="I103" s="4" t="inlineStr"/>
      <c r="J103" s="2" t="inlineStr">
        <is>
          <t>aCTH reimplementation</t>
        </is>
      </c>
      <c r="K103" s="3" t="inlineStr"/>
    </row>
    <row r="104">
      <c r="A104" s="2" t="inlineStr">
        <is>
          <t>T-103</t>
        </is>
      </c>
      <c r="B104" s="2" t="inlineStr"/>
      <c r="C104" s="3" t="inlineStr">
        <is>
          <t>AN-94 2-round burst</t>
        </is>
      </c>
      <c r="D104" s="2" t="inlineStr">
        <is>
          <t>GBO3</t>
        </is>
      </c>
      <c r="E104" s="2" t="inlineStr">
        <is>
          <t>Fire Modes</t>
        </is>
      </c>
      <c r="F104" s="2" t="inlineStr">
        <is>
          <t>Feature</t>
        </is>
      </c>
      <c r="G104" s="2" t="inlineStr">
        <is>
          <t>P1</t>
        </is>
      </c>
      <c r="H104" s="2" t="inlineStr">
        <is>
          <t>Done</t>
        </is>
      </c>
      <c r="I104" s="4" t="inlineStr"/>
      <c r="J104" s="2" t="inlineStr">
        <is>
          <t>aCTH reimplementation</t>
        </is>
      </c>
      <c r="K104" s="3" t="inlineStr"/>
    </row>
    <row r="105">
      <c r="A105" s="2" t="inlineStr">
        <is>
          <t>T-104</t>
        </is>
      </c>
      <c r="B105" s="2" t="inlineStr"/>
      <c r="C105" s="3" t="inlineStr">
        <is>
          <t>Snipe/Pin Down action</t>
        </is>
      </c>
      <c r="D105" s="2" t="inlineStr">
        <is>
          <t>GBO3</t>
        </is>
      </c>
      <c r="E105" s="2" t="inlineStr">
        <is>
          <t>Accuracy</t>
        </is>
      </c>
      <c r="F105" s="2" t="inlineStr">
        <is>
          <t>Feature</t>
        </is>
      </c>
      <c r="G105" s="2" t="inlineStr">
        <is>
          <t>P1</t>
        </is>
      </c>
      <c r="H105" s="2" t="inlineStr">
        <is>
          <t>Done</t>
        </is>
      </c>
      <c r="I105" s="4" t="inlineStr"/>
      <c r="J105" s="2" t="inlineStr">
        <is>
          <t>aCTH reimplementation</t>
        </is>
      </c>
      <c r="K105" s="3" t="inlineStr"/>
    </row>
    <row r="106">
      <c r="A106" s="2" t="inlineStr">
        <is>
          <t>T-105</t>
        </is>
      </c>
      <c r="B106" s="2" t="inlineStr"/>
      <c r="C106" s="3" t="inlineStr">
        <is>
          <t>Low profile CTH mod for crocs disabled in aCTH</t>
        </is>
      </c>
      <c r="D106" s="2" t="inlineStr">
        <is>
          <t>GBO3</t>
        </is>
      </c>
      <c r="E106" s="2" t="inlineStr">
        <is>
          <t>Accuracy</t>
        </is>
      </c>
      <c r="F106" s="2" t="inlineStr">
        <is>
          <t>Feature</t>
        </is>
      </c>
      <c r="G106" s="2" t="inlineStr">
        <is>
          <t>P1</t>
        </is>
      </c>
      <c r="H106" s="2" t="inlineStr">
        <is>
          <t>Done</t>
        </is>
      </c>
      <c r="I106" s="4" t="inlineStr"/>
      <c r="J106" s="2" t="inlineStr">
        <is>
          <t>aCTH reimplementation</t>
        </is>
      </c>
      <c r="K106" s="3" t="inlineStr"/>
    </row>
    <row r="107">
      <c r="A107" s="2" t="inlineStr">
        <is>
          <t>T-106</t>
        </is>
      </c>
      <c r="B107" s="2" t="inlineStr"/>
      <c r="C107" s="3" t="inlineStr">
        <is>
          <t>Camouflage</t>
        </is>
      </c>
      <c r="D107" s="2" t="inlineStr">
        <is>
          <t>GBO3</t>
        </is>
      </c>
      <c r="E107" s="2" t="inlineStr">
        <is>
          <t>Accuracy</t>
        </is>
      </c>
      <c r="F107" s="2" t="inlineStr">
        <is>
          <t>Feature</t>
        </is>
      </c>
      <c r="G107" s="2" t="inlineStr">
        <is>
          <t>P1</t>
        </is>
      </c>
      <c r="H107" s="2" t="inlineStr">
        <is>
          <t>Done</t>
        </is>
      </c>
      <c r="I107" s="4" t="inlineStr"/>
      <c r="J107" s="2" t="inlineStr">
        <is>
          <t>aCTH reimplementation</t>
        </is>
      </c>
      <c r="K107" s="3" t="inlineStr"/>
    </row>
    <row r="108">
      <c r="A108" s="2" t="inlineStr">
        <is>
          <t>T-107</t>
        </is>
      </c>
      <c r="B108" s="2" t="inlineStr"/>
      <c r="C108" s="3" t="inlineStr">
        <is>
          <t>Scopes with body-part / cover-bypass bonuses</t>
        </is>
      </c>
      <c r="D108" s="2" t="inlineStr">
        <is>
          <t>GBO3</t>
        </is>
      </c>
      <c r="E108" s="2" t="inlineStr">
        <is>
          <t>Components</t>
        </is>
      </c>
      <c r="F108" s="2" t="inlineStr">
        <is>
          <t>Feature</t>
        </is>
      </c>
      <c r="G108" s="2" t="inlineStr">
        <is>
          <t>P1</t>
        </is>
      </c>
      <c r="H108" s="2" t="inlineStr">
        <is>
          <t>Done</t>
        </is>
      </c>
      <c r="I108" s="4" t="inlineStr"/>
      <c r="J108" s="2" t="inlineStr">
        <is>
          <t>aCTH reimplementation</t>
        </is>
      </c>
      <c r="K108" s="3" t="inlineStr">
        <is>
          <t>Handzolt: more acc, worse snapshot</t>
        </is>
      </c>
    </row>
    <row r="109">
      <c r="A109" s="2" t="inlineStr">
        <is>
          <t>T-108</t>
        </is>
      </c>
      <c r="B109" s="2" t="inlineStr">
        <is>
          <t>T-107</t>
        </is>
      </c>
      <c r="C109" s="3" t="inlineStr">
        <is>
          <t xml:space="preserve">    ↳ Thermal scope</t>
        </is>
      </c>
      <c r="D109" s="2" t="inlineStr">
        <is>
          <t>GBO3</t>
        </is>
      </c>
      <c r="E109" s="2" t="inlineStr">
        <is>
          <t>Components</t>
        </is>
      </c>
      <c r="F109" s="2" t="inlineStr">
        <is>
          <t>Feature</t>
        </is>
      </c>
      <c r="G109" s="2" t="inlineStr">
        <is>
          <t>P2</t>
        </is>
      </c>
      <c r="H109" s="2" t="inlineStr">
        <is>
          <t>Open</t>
        </is>
      </c>
      <c r="I109" s="4" t="inlineStr"/>
      <c r="J109" s="2" t="inlineStr">
        <is>
          <t>aCTH reimplementation</t>
        </is>
      </c>
      <c r="K109" s="3" t="inlineStr"/>
    </row>
    <row r="110">
      <c r="A110" s="2" t="inlineStr">
        <is>
          <t>T-109</t>
        </is>
      </c>
      <c r="B110" s="2" t="inlineStr"/>
      <c r="C110" s="3" t="inlineStr">
        <is>
          <t>Gas, smoke and other grazing mechanics</t>
        </is>
      </c>
      <c r="D110" s="2" t="inlineStr">
        <is>
          <t>GBO3</t>
        </is>
      </c>
      <c r="E110" s="2" t="inlineStr">
        <is>
          <t>Accuracy</t>
        </is>
      </c>
      <c r="F110" s="2" t="inlineStr">
        <is>
          <t>Feature</t>
        </is>
      </c>
      <c r="G110" s="2" t="inlineStr">
        <is>
          <t>P1</t>
        </is>
      </c>
      <c r="H110" s="2" t="inlineStr">
        <is>
          <t>Done</t>
        </is>
      </c>
      <c r="I110" s="4" t="inlineStr"/>
      <c r="J110" s="2" t="inlineStr">
        <is>
          <t>aCTH reimplementation</t>
        </is>
      </c>
      <c r="K110" s="3" t="inlineStr"/>
    </row>
    <row r="111">
      <c r="A111" s="2" t="inlineStr">
        <is>
          <t>T-110</t>
        </is>
      </c>
      <c r="B111" s="2" t="inlineStr"/>
      <c r="C111" s="3" t="inlineStr">
        <is>
          <t>Grizzly perk (recoil calc)</t>
        </is>
      </c>
      <c r="D111" s="2" t="inlineStr">
        <is>
          <t>GBO3</t>
        </is>
      </c>
      <c r="E111" s="2" t="inlineStr">
        <is>
          <t>Perks &amp; Traits</t>
        </is>
      </c>
      <c r="F111" s="2" t="inlineStr">
        <is>
          <t>Feature</t>
        </is>
      </c>
      <c r="G111" s="2" t="inlineStr">
        <is>
          <t>P1</t>
        </is>
      </c>
      <c r="H111" s="2" t="inlineStr">
        <is>
          <t>Done</t>
        </is>
      </c>
      <c r="I111" s="4" t="inlineStr"/>
      <c r="J111" s="2" t="inlineStr">
        <is>
          <t>aCTH reimplementation</t>
        </is>
      </c>
      <c r="K111" s="3" t="inlineStr"/>
    </row>
    <row r="112">
      <c r="A112" s="2" t="inlineStr">
        <is>
          <t>T-111</t>
        </is>
      </c>
      <c r="B112" s="2" t="inlineStr"/>
      <c r="C112" s="3" t="inlineStr">
        <is>
          <t>CQC bonus perk</t>
        </is>
      </c>
      <c r="D112" s="2" t="inlineStr">
        <is>
          <t>GBO3</t>
        </is>
      </c>
      <c r="E112" s="2" t="inlineStr">
        <is>
          <t>Perks &amp; Traits</t>
        </is>
      </c>
      <c r="F112" s="2" t="inlineStr">
        <is>
          <t>Feature</t>
        </is>
      </c>
      <c r="G112" s="2" t="inlineStr">
        <is>
          <t>P1</t>
        </is>
      </c>
      <c r="H112" s="2" t="inlineStr">
        <is>
          <t>Done</t>
        </is>
      </c>
      <c r="I112" s="4" t="inlineStr"/>
      <c r="J112" s="2" t="inlineStr">
        <is>
          <t>aCTH reimplementation</t>
        </is>
      </c>
      <c r="K112" s="3" t="inlineStr"/>
    </row>
    <row r="113">
      <c r="A113" s="2" t="inlineStr">
        <is>
          <t>T-112</t>
        </is>
      </c>
      <c r="B113" s="2" t="inlineStr"/>
      <c r="C113" s="3" t="inlineStr">
        <is>
          <t>Major perk (Bullet Hell)</t>
        </is>
      </c>
      <c r="D113" s="2" t="inlineStr">
        <is>
          <t>GBO3</t>
        </is>
      </c>
      <c r="E113" s="2" t="inlineStr">
        <is>
          <t>Perks &amp; Traits</t>
        </is>
      </c>
      <c r="F113" s="2" t="inlineStr">
        <is>
          <t>Feature</t>
        </is>
      </c>
      <c r="G113" s="2" t="inlineStr">
        <is>
          <t>P1</t>
        </is>
      </c>
      <c r="H113" s="2" t="inlineStr">
        <is>
          <t>Done</t>
        </is>
      </c>
      <c r="I113" s="4" t="inlineStr"/>
      <c r="J113" s="2" t="inlineStr">
        <is>
          <t>aCTH reimplementation</t>
        </is>
      </c>
      <c r="K113" s="3" t="inlineStr"/>
    </row>
    <row r="114">
      <c r="A114" s="2" t="inlineStr">
        <is>
          <t>T-113</t>
        </is>
      </c>
      <c r="B114" s="2" t="inlineStr"/>
      <c r="C114" s="3" t="inlineStr">
        <is>
          <t>Spiritual perk</t>
        </is>
      </c>
      <c r="D114" s="2" t="inlineStr">
        <is>
          <t>GBO3</t>
        </is>
      </c>
      <c r="E114" s="2" t="inlineStr">
        <is>
          <t>Perks &amp; Traits</t>
        </is>
      </c>
      <c r="F114" s="2" t="inlineStr">
        <is>
          <t>Feature</t>
        </is>
      </c>
      <c r="G114" s="2" t="inlineStr">
        <is>
          <t>P1</t>
        </is>
      </c>
      <c r="H114" s="2" t="inlineStr">
        <is>
          <t>Done</t>
        </is>
      </c>
      <c r="I114" s="4" t="inlineStr"/>
      <c r="J114" s="2" t="inlineStr">
        <is>
          <t>aCTH reimplementation</t>
        </is>
      </c>
      <c r="K114" s="3" t="inlineStr"/>
    </row>
    <row r="115">
      <c r="A115" s="2" t="inlineStr">
        <is>
          <t>T-114</t>
        </is>
      </c>
      <c r="B115" s="2" t="inlineStr"/>
      <c r="C115" s="3" t="inlineStr">
        <is>
          <t>MG Setup Get AP</t>
        </is>
      </c>
      <c r="D115" s="2" t="inlineStr">
        <is>
          <t>GBO3</t>
        </is>
      </c>
      <c r="E115" s="2" t="inlineStr">
        <is>
          <t>AP Economy</t>
        </is>
      </c>
      <c r="F115" s="2" t="inlineStr">
        <is>
          <t>Feature</t>
        </is>
      </c>
      <c r="G115" s="2" t="inlineStr">
        <is>
          <t>P1</t>
        </is>
      </c>
      <c r="H115" s="2" t="inlineStr">
        <is>
          <t>Done</t>
        </is>
      </c>
      <c r="I115" s="4" t="inlineStr"/>
      <c r="J115" s="2" t="inlineStr">
        <is>
          <t>aCTH reimplementation</t>
        </is>
      </c>
      <c r="K115" s="3" t="inlineStr">
        <is>
          <t>Ended up decreasing delta by 1</t>
        </is>
      </c>
    </row>
    <row r="116">
      <c r="A116" s="2" t="inlineStr">
        <is>
          <t>T-115</t>
        </is>
      </c>
      <c r="B116" s="2" t="inlineStr"/>
      <c r="C116" s="3" t="inlineStr">
        <is>
          <t>Run and Gun recoil penalty modifier</t>
        </is>
      </c>
      <c r="D116" s="2" t="inlineStr">
        <is>
          <t>GBO3</t>
        </is>
      </c>
      <c r="E116" s="2" t="inlineStr">
        <is>
          <t>Recoil</t>
        </is>
      </c>
      <c r="F116" s="2" t="inlineStr">
        <is>
          <t>Feature</t>
        </is>
      </c>
      <c r="G116" s="2" t="inlineStr">
        <is>
          <t>P1</t>
        </is>
      </c>
      <c r="H116" s="2" t="inlineStr">
        <is>
          <t>Done</t>
        </is>
      </c>
      <c r="I116" s="4" t="inlineStr"/>
      <c r="J116" s="2" t="inlineStr">
        <is>
          <t>aCTH reimplementation</t>
        </is>
      </c>
      <c r="K116" s="3" t="inlineStr"/>
    </row>
    <row r="117">
      <c r="A117" s="2" t="inlineStr">
        <is>
          <t>T-116</t>
        </is>
      </c>
      <c r="B117" s="2" t="inlineStr"/>
      <c r="C117" s="3" t="inlineStr">
        <is>
          <t>Scopes: make floor mul a readable effect (or revert to increased range)</t>
        </is>
      </c>
      <c r="D117" s="2" t="inlineStr">
        <is>
          <t>GBO3</t>
        </is>
      </c>
      <c r="E117" s="2" t="inlineStr">
        <is>
          <t>Components</t>
        </is>
      </c>
      <c r="F117" s="2" t="inlineStr">
        <is>
          <t>Balance</t>
        </is>
      </c>
      <c r="G117" s="2" t="inlineStr">
        <is>
          <t>P2</t>
        </is>
      </c>
      <c r="H117" s="2" t="inlineStr">
        <is>
          <t>Open</t>
        </is>
      </c>
      <c r="I117" s="4" t="inlineStr"/>
      <c r="J117" s="2" t="inlineStr">
        <is>
          <t>aCTH balancing</t>
        </is>
      </c>
      <c r="K117" s="3" t="inlineStr"/>
    </row>
    <row r="118">
      <c r="A118" s="2" t="inlineStr">
        <is>
          <t>T-117</t>
        </is>
      </c>
      <c r="B118" s="2" t="inlineStr"/>
      <c r="C118" s="3" t="inlineStr">
        <is>
          <t>Off-part damage penalty only for the head?</t>
        </is>
      </c>
      <c r="D118" s="2" t="inlineStr">
        <is>
          <t>GBO3</t>
        </is>
      </c>
      <c r="E118" s="2" t="inlineStr">
        <is>
          <t>Accuracy</t>
        </is>
      </c>
      <c r="F118" s="2" t="inlineStr">
        <is>
          <t>Balance</t>
        </is>
      </c>
      <c r="G118" s="2" t="inlineStr">
        <is>
          <t>P3</t>
        </is>
      </c>
      <c r="H118" s="2" t="inlineStr">
        <is>
          <t>Proposal</t>
        </is>
      </c>
      <c r="I118" s="4" t="inlineStr"/>
      <c r="J118" s="2" t="inlineStr">
        <is>
          <t>aCTH balancing</t>
        </is>
      </c>
      <c r="K118" s="3" t="inlineStr"/>
    </row>
    <row r="119">
      <c r="A119" s="2" t="inlineStr">
        <is>
          <t>T-118</t>
        </is>
      </c>
      <c r="B119" s="2" t="inlineStr"/>
      <c r="C119" s="3" t="inlineStr">
        <is>
          <t>Balance pass on scope accuracy numbers</t>
        </is>
      </c>
      <c r="D119" s="2" t="inlineStr">
        <is>
          <t>GBO3</t>
        </is>
      </c>
      <c r="E119" s="2" t="inlineStr">
        <is>
          <t>Components</t>
        </is>
      </c>
      <c r="F119" s="2" t="inlineStr">
        <is>
          <t>Balance</t>
        </is>
      </c>
      <c r="G119" s="2" t="inlineStr">
        <is>
          <t>P2</t>
        </is>
      </c>
      <c r="H119" s="2" t="inlineStr">
        <is>
          <t>Open</t>
        </is>
      </c>
      <c r="I119" s="4" t="inlineStr"/>
      <c r="J119" s="2" t="inlineStr">
        <is>
          <t>aCTH balancing</t>
        </is>
      </c>
      <c r="K119" s="3" t="inlineStr"/>
    </row>
    <row r="120">
      <c r="A120" s="2" t="inlineStr">
        <is>
          <t>T-119</t>
        </is>
      </c>
      <c r="B120" s="2" t="inlineStr"/>
      <c r="C120" s="3" t="inlineStr">
        <is>
          <t>Digital Scope (G36) param handling in aCTH</t>
        </is>
      </c>
      <c r="D120" s="2" t="inlineStr">
        <is>
          <t>GBO3</t>
        </is>
      </c>
      <c r="E120" s="2" t="inlineStr">
        <is>
          <t>Components</t>
        </is>
      </c>
      <c r="F120" s="2" t="inlineStr">
        <is>
          <t>Feature</t>
        </is>
      </c>
      <c r="G120" s="2" t="inlineStr">
        <is>
          <t>P2</t>
        </is>
      </c>
      <c r="H120" s="2" t="inlineStr">
        <is>
          <t>Open</t>
        </is>
      </c>
      <c r="I120" s="4" t="inlineStr"/>
      <c r="J120" s="2" t="inlineStr">
        <is>
          <t>aCTH balancing</t>
        </is>
      </c>
      <c r="K120" s="3" t="inlineStr"/>
    </row>
    <row r="121">
      <c r="A121" s="2" t="inlineStr">
        <is>
          <t>T-120</t>
        </is>
      </c>
      <c r="B121" s="2" t="inlineStr"/>
      <c r="C121" s="3" t="inlineStr">
        <is>
          <t>Remove stray from Get Cover action</t>
        </is>
      </c>
      <c r="D121" s="2" t="inlineStr">
        <is>
          <t>GBO3</t>
        </is>
      </c>
      <c r="E121" s="2" t="inlineStr">
        <is>
          <t>Accuracy</t>
        </is>
      </c>
      <c r="F121" s="2" t="inlineStr">
        <is>
          <t>Balance</t>
        </is>
      </c>
      <c r="G121" s="2" t="inlineStr">
        <is>
          <t>P2</t>
        </is>
      </c>
      <c r="H121" s="2" t="inlineStr">
        <is>
          <t>Done</t>
        </is>
      </c>
      <c r="I121" s="4" t="inlineStr"/>
      <c r="J121" s="2" t="inlineStr">
        <is>
          <t>aCTH balancing</t>
        </is>
      </c>
      <c r="K121" s="3" t="inlineStr"/>
    </row>
    <row r="122">
      <c r="A122" s="2" t="inlineStr">
        <is>
          <t>T-121</t>
        </is>
      </c>
      <c r="B122" s="2" t="inlineStr"/>
      <c r="C122" s="3" t="inlineStr">
        <is>
          <t>Evaluate aim soft cap</t>
        </is>
      </c>
      <c r="D122" s="2" t="inlineStr">
        <is>
          <t>GBO3</t>
        </is>
      </c>
      <c r="E122" s="2" t="inlineStr">
        <is>
          <t>Accuracy</t>
        </is>
      </c>
      <c r="F122" s="2" t="inlineStr">
        <is>
          <t>Balance</t>
        </is>
      </c>
      <c r="G122" s="2" t="inlineStr">
        <is>
          <t>P2</t>
        </is>
      </c>
      <c r="H122" s="2" t="inlineStr">
        <is>
          <t>Done</t>
        </is>
      </c>
      <c r="I122" s="4" t="inlineStr"/>
      <c r="J122" s="2" t="inlineStr">
        <is>
          <t>aCTH balancing</t>
        </is>
      </c>
      <c r="K122" s="3" t="inlineStr">
        <is>
          <t>Cap is 70</t>
        </is>
      </c>
    </row>
    <row r="123">
      <c r="A123" s="2" t="inlineStr">
        <is>
          <t>T-122</t>
        </is>
      </c>
      <c r="B123" s="2" t="inlineStr"/>
      <c r="C123" s="3" t="inlineStr">
        <is>
          <t>Pinned Down mod suppression for strays</t>
        </is>
      </c>
      <c r="D123" s="2" t="inlineStr">
        <is>
          <t>GBO3</t>
        </is>
      </c>
      <c r="E123" s="2" t="inlineStr">
        <is>
          <t>Accuracy</t>
        </is>
      </c>
      <c r="F123" s="2" t="inlineStr">
        <is>
          <t>Balance</t>
        </is>
      </c>
      <c r="G123" s="2" t="inlineStr">
        <is>
          <t>P2</t>
        </is>
      </c>
      <c r="H123" s="2" t="inlineStr">
        <is>
          <t>Done</t>
        </is>
      </c>
      <c r="I123" s="4" t="inlineStr"/>
      <c r="J123" s="2" t="inlineStr">
        <is>
          <t>aCTH balancing</t>
        </is>
      </c>
      <c r="K123" s="3" t="inlineStr"/>
    </row>
    <row r="124">
      <c r="A124" s="2" t="inlineStr">
        <is>
          <t>T-123</t>
        </is>
      </c>
      <c r="B124" s="2" t="inlineStr"/>
      <c r="C124" s="3" t="inlineStr">
        <is>
          <t>Re-scale Aim Accuracy bonus for more gradient</t>
        </is>
      </c>
      <c r="D124" s="2" t="inlineStr">
        <is>
          <t>GBO3</t>
        </is>
      </c>
      <c r="E124" s="2" t="inlineStr">
        <is>
          <t>Accuracy</t>
        </is>
      </c>
      <c r="F124" s="2" t="inlineStr">
        <is>
          <t>Balance</t>
        </is>
      </c>
      <c r="G124" s="2" t="inlineStr">
        <is>
          <t>P1</t>
        </is>
      </c>
      <c r="H124" s="2" t="inlineStr">
        <is>
          <t>Done</t>
        </is>
      </c>
      <c r="I124" s="4" t="inlineStr"/>
      <c r="J124" s="2" t="inlineStr">
        <is>
          <t>aCTH balancing</t>
        </is>
      </c>
      <c r="K124" s="3" t="inlineStr"/>
    </row>
    <row r="125">
      <c r="A125" s="2" t="inlineStr">
        <is>
          <t>T-124</t>
        </is>
      </c>
      <c r="B125" s="2" t="inlineStr">
        <is>
          <t>T-123</t>
        </is>
      </c>
      <c r="C125" s="3" t="inlineStr">
        <is>
          <t xml:space="preserve">    ↳ UV dot</t>
        </is>
      </c>
      <c r="D125" s="2" t="inlineStr">
        <is>
          <t>GBO3</t>
        </is>
      </c>
      <c r="E125" s="2" t="inlineStr">
        <is>
          <t>Components</t>
        </is>
      </c>
      <c r="F125" s="2" t="inlineStr">
        <is>
          <t>Balance</t>
        </is>
      </c>
      <c r="G125" s="2" t="inlineStr">
        <is>
          <t>P2</t>
        </is>
      </c>
      <c r="H125" s="2" t="inlineStr">
        <is>
          <t>Done</t>
        </is>
      </c>
      <c r="I125" s="4" t="inlineStr"/>
      <c r="J125" s="2" t="inlineStr">
        <is>
          <t>aCTH balancing</t>
        </is>
      </c>
      <c r="K125" s="3" t="inlineStr"/>
    </row>
    <row r="126">
      <c r="A126" s="2" t="inlineStr">
        <is>
          <t>T-125</t>
        </is>
      </c>
      <c r="B126" s="2" t="inlineStr">
        <is>
          <t>T-123</t>
        </is>
      </c>
      <c r="C126" s="3" t="inlineStr">
        <is>
          <t xml:space="preserve">    ↳ No-stock penalty re-scale (more range vs more aim penalty)</t>
        </is>
      </c>
      <c r="D126" s="2" t="inlineStr">
        <is>
          <t>GBO3</t>
        </is>
      </c>
      <c r="E126" s="2" t="inlineStr">
        <is>
          <t>Components</t>
        </is>
      </c>
      <c r="F126" s="2" t="inlineStr">
        <is>
          <t>Balance</t>
        </is>
      </c>
      <c r="G126" s="2" t="inlineStr">
        <is>
          <t>P2</t>
        </is>
      </c>
      <c r="H126" s="2" t="inlineStr">
        <is>
          <t>Done</t>
        </is>
      </c>
      <c r="I126" s="4" t="inlineStr"/>
      <c r="J126" s="2" t="inlineStr">
        <is>
          <t>aCTH balancing</t>
        </is>
      </c>
      <c r="K126" s="3" t="inlineStr"/>
    </row>
    <row r="127">
      <c r="A127" s="2" t="inlineStr">
        <is>
          <t>T-126</t>
        </is>
      </c>
      <c r="B127" s="2" t="inlineStr">
        <is>
          <t>T-123</t>
        </is>
      </c>
      <c r="C127" s="3" t="inlineStr">
        <is>
          <t xml:space="preserve">    ↳ Light stock</t>
        </is>
      </c>
      <c r="D127" s="2" t="inlineStr">
        <is>
          <t>GBO3</t>
        </is>
      </c>
      <c r="E127" s="2" t="inlineStr">
        <is>
          <t>Components</t>
        </is>
      </c>
      <c r="F127" s="2" t="inlineStr">
        <is>
          <t>Balance</t>
        </is>
      </c>
      <c r="G127" s="2" t="inlineStr">
        <is>
          <t>P2</t>
        </is>
      </c>
      <c r="H127" s="2" t="inlineStr">
        <is>
          <t>Done</t>
        </is>
      </c>
      <c r="I127" s="4" t="inlineStr"/>
      <c r="J127" s="2" t="inlineStr">
        <is>
          <t>aCTH balancing</t>
        </is>
      </c>
      <c r="K127" s="3" t="inlineStr"/>
    </row>
    <row r="128">
      <c r="A128" s="2" t="inlineStr">
        <is>
          <t>T-127</t>
        </is>
      </c>
      <c r="B128" s="2" t="inlineStr">
        <is>
          <t>T-123</t>
        </is>
      </c>
      <c r="C128" s="3" t="inlineStr">
        <is>
          <t xml:space="preserve">    ↳ Match ammo</t>
        </is>
      </c>
      <c r="D128" s="2" t="inlineStr">
        <is>
          <t>GBO3</t>
        </is>
      </c>
      <c r="E128" s="2" t="inlineStr">
        <is>
          <t>Components</t>
        </is>
      </c>
      <c r="F128" s="2" t="inlineStr">
        <is>
          <t>Balance</t>
        </is>
      </c>
      <c r="G128" s="2" t="inlineStr">
        <is>
          <t>P2</t>
        </is>
      </c>
      <c r="H128" s="2" t="inlineStr">
        <is>
          <t>Done</t>
        </is>
      </c>
      <c r="I128" s="4" t="inlineStr"/>
      <c r="J128" s="2" t="inlineStr">
        <is>
          <t>aCTH balancing</t>
        </is>
      </c>
      <c r="K128" s="3" t="inlineStr"/>
    </row>
    <row r="129">
      <c r="A129" s="2" t="inlineStr">
        <is>
          <t>T-128</t>
        </is>
      </c>
      <c r="B129" s="2" t="inlineStr">
        <is>
          <t>T-123</t>
        </is>
      </c>
      <c r="C129" s="3" t="inlineStr">
        <is>
          <t xml:space="preserve">    ↳ Grips (flat attack accuracy bonus)</t>
        </is>
      </c>
      <c r="D129" s="2" t="inlineStr">
        <is>
          <t>GBO3</t>
        </is>
      </c>
      <c r="E129" s="2" t="inlineStr">
        <is>
          <t>Components</t>
        </is>
      </c>
      <c r="F129" s="2" t="inlineStr">
        <is>
          <t>Balance</t>
        </is>
      </c>
      <c r="G129" s="2" t="inlineStr">
        <is>
          <t>P2</t>
        </is>
      </c>
      <c r="H129" s="2" t="inlineStr">
        <is>
          <t>Done</t>
        </is>
      </c>
      <c r="I129" s="4" t="inlineStr"/>
      <c r="J129" s="2" t="inlineStr">
        <is>
          <t>aCTH balancing</t>
        </is>
      </c>
      <c r="K129" s="3" t="inlineStr"/>
    </row>
    <row r="130">
      <c r="A130" s="2" t="inlineStr">
        <is>
          <t>T-129</t>
        </is>
      </c>
      <c r="B130" s="2" t="inlineStr">
        <is>
          <t>T-123</t>
        </is>
      </c>
      <c r="C130" s="3" t="inlineStr">
        <is>
          <t xml:space="preserve">    ↳ Better handling of the component aim scaler</t>
        </is>
      </c>
      <c r="D130" s="2" t="inlineStr">
        <is>
          <t>GBO3</t>
        </is>
      </c>
      <c r="E130" s="2" t="inlineStr">
        <is>
          <t>Components</t>
        </is>
      </c>
      <c r="F130" s="2" t="inlineStr">
        <is>
          <t>Balance</t>
        </is>
      </c>
      <c r="G130" s="2" t="inlineStr">
        <is>
          <t>P2</t>
        </is>
      </c>
      <c r="H130" s="2" t="inlineStr">
        <is>
          <t>Done</t>
        </is>
      </c>
      <c r="I130" s="4" t="inlineStr"/>
      <c r="J130" s="2" t="inlineStr">
        <is>
          <t>aCTH balancing</t>
        </is>
      </c>
      <c r="K130" s="3" t="inlineStr"/>
    </row>
    <row r="131">
      <c r="A131" s="2" t="inlineStr">
        <is>
          <t>T-130</t>
        </is>
      </c>
      <c r="B131" s="2" t="inlineStr"/>
      <c r="C131" s="3" t="inlineStr">
        <is>
          <t>Review handling-while-standing penalty</t>
        </is>
      </c>
      <c r="D131" s="2" t="inlineStr">
        <is>
          <t>GBO3</t>
        </is>
      </c>
      <c r="E131" s="2" t="inlineStr">
        <is>
          <t>Accuracy</t>
        </is>
      </c>
      <c r="F131" s="2" t="inlineStr">
        <is>
          <t>Balance</t>
        </is>
      </c>
      <c r="G131" s="2" t="inlineStr">
        <is>
          <t>P2</t>
        </is>
      </c>
      <c r="H131" s="2" t="inlineStr">
        <is>
          <t>Done</t>
        </is>
      </c>
      <c r="I131" s="4" t="inlineStr"/>
      <c r="J131" s="2" t="inlineStr">
        <is>
          <t>aCTH balancing</t>
        </is>
      </c>
      <c r="K131" s="3" t="inlineStr"/>
    </row>
    <row r="132">
      <c r="A132" s="2" t="inlineStr">
        <is>
          <t>T-131</t>
        </is>
      </c>
      <c r="B132" s="2" t="inlineStr">
        <is>
          <t>T-130</t>
        </is>
      </c>
      <c r="C132" s="3" t="inlineStr">
        <is>
          <t xml:space="preserve">    ↳ Decide if recoil while standing uses the same params (weigth_held_mul)</t>
        </is>
      </c>
      <c r="D132" s="2" t="inlineStr">
        <is>
          <t>GBO3</t>
        </is>
      </c>
      <c r="E132" s="2" t="inlineStr">
        <is>
          <t>Recoil</t>
        </is>
      </c>
      <c r="F132" s="2" t="inlineStr">
        <is>
          <t>Balance</t>
        </is>
      </c>
      <c r="G132" s="2" t="inlineStr">
        <is>
          <t>P2</t>
        </is>
      </c>
      <c r="H132" s="2" t="inlineStr">
        <is>
          <t>Done</t>
        </is>
      </c>
      <c r="I132" s="4" t="inlineStr"/>
      <c r="J132" s="2" t="inlineStr">
        <is>
          <t>aCTH balancing</t>
        </is>
      </c>
      <c r="K132" s="3" t="inlineStr"/>
    </row>
    <row r="133">
      <c r="A133" s="2" t="inlineStr">
        <is>
          <t>T-132</t>
        </is>
      </c>
      <c r="B133" s="2" t="inlineStr"/>
      <c r="C133" s="3" t="inlineStr">
        <is>
          <t>Lower status-effect chance for stray shots</t>
        </is>
      </c>
      <c r="D133" s="2" t="inlineStr">
        <is>
          <t>GBO3</t>
        </is>
      </c>
      <c r="E133" s="2" t="inlineStr">
        <is>
          <t>Accuracy</t>
        </is>
      </c>
      <c r="F133" s="2" t="inlineStr">
        <is>
          <t>Balance</t>
        </is>
      </c>
      <c r="G133" s="2" t="inlineStr">
        <is>
          <t>P2</t>
        </is>
      </c>
      <c r="H133" s="2" t="inlineStr">
        <is>
          <t>Done</t>
        </is>
      </c>
      <c r="I133" s="4" t="inlineStr"/>
      <c r="J133" s="2" t="inlineStr">
        <is>
          <t>aCTH balancing</t>
        </is>
      </c>
      <c r="K133" s="3" t="inlineStr"/>
    </row>
    <row r="134">
      <c r="A134" s="2" t="inlineStr">
        <is>
          <t>T-133</t>
        </is>
      </c>
      <c r="B134" s="2" t="inlineStr">
        <is>
          <t>T-132</t>
        </is>
      </c>
      <c r="C134" s="3" t="inlineStr">
        <is>
          <t xml:space="preserve">    ↳ Pellets</t>
        </is>
      </c>
      <c r="D134" s="2" t="inlineStr">
        <is>
          <t>GBO3</t>
        </is>
      </c>
      <c r="E134" s="2" t="inlineStr">
        <is>
          <t>Shotguns</t>
        </is>
      </c>
      <c r="F134" s="2" t="inlineStr">
        <is>
          <t>Balance</t>
        </is>
      </c>
      <c r="G134" s="2" t="inlineStr">
        <is>
          <t>P2</t>
        </is>
      </c>
      <c r="H134" s="2" t="inlineStr">
        <is>
          <t>Done</t>
        </is>
      </c>
      <c r="I134" s="4" t="inlineStr"/>
      <c r="J134" s="2" t="inlineStr">
        <is>
          <t>aCTH balancing</t>
        </is>
      </c>
      <c r="K134" s="3" t="inlineStr"/>
    </row>
    <row r="135">
      <c r="A135" s="2" t="inlineStr">
        <is>
          <t>T-134</t>
        </is>
      </c>
      <c r="B135" s="2" t="inlineStr"/>
      <c r="C135" s="3" t="inlineStr">
        <is>
          <t>Handgun extra hints show reduced aim acc</t>
        </is>
      </c>
      <c r="D135" s="2" t="inlineStr">
        <is>
          <t>GBO3</t>
        </is>
      </c>
      <c r="E135" s="2" t="inlineStr">
        <is>
          <t>UI &amp; Descriptions</t>
        </is>
      </c>
      <c r="F135" s="2" t="inlineStr">
        <is>
          <t>Text</t>
        </is>
      </c>
      <c r="G135" s="2" t="inlineStr">
        <is>
          <t>P2</t>
        </is>
      </c>
      <c r="H135" s="2" t="inlineStr">
        <is>
          <t>Done</t>
        </is>
      </c>
      <c r="I135" s="4" t="inlineStr"/>
      <c r="J135" s="2" t="inlineStr">
        <is>
          <t>aCTH descriptions</t>
        </is>
      </c>
      <c r="K135" s="3" t="inlineStr"/>
    </row>
    <row r="136">
      <c r="A136" s="2" t="inlineStr">
        <is>
          <t>T-135</t>
        </is>
      </c>
      <c r="B136" s="2" t="inlineStr"/>
      <c r="C136" s="3" t="inlineStr">
        <is>
          <t>Take-cover-not-grazing mod option</t>
        </is>
      </c>
      <c r="D136" s="2" t="inlineStr">
        <is>
          <t>GBO3</t>
        </is>
      </c>
      <c r="E136" s="2" t="inlineStr">
        <is>
          <t>UI &amp; Descriptions</t>
        </is>
      </c>
      <c r="F136" s="2" t="inlineStr">
        <is>
          <t>Text</t>
        </is>
      </c>
      <c r="G136" s="2" t="inlineStr">
        <is>
          <t>P2</t>
        </is>
      </c>
      <c r="H136" s="2" t="inlineStr">
        <is>
          <t>Done</t>
        </is>
      </c>
      <c r="I136" s="4" t="inlineStr"/>
      <c r="J136" s="2" t="inlineStr">
        <is>
          <t>aCTH descriptions</t>
        </is>
      </c>
      <c r="K136" s="3" t="inlineStr"/>
    </row>
    <row r="137">
      <c r="A137" s="2" t="inlineStr">
        <is>
          <t>T-136</t>
        </is>
      </c>
      <c r="B137" s="2" t="inlineStr"/>
      <c r="C137" s="3" t="inlineStr">
        <is>
          <t>Smoke not grazing; decide if LOS</t>
        </is>
      </c>
      <c r="D137" s="2" t="inlineStr">
        <is>
          <t>GBO3</t>
        </is>
      </c>
      <c r="E137" s="2" t="inlineStr">
        <is>
          <t>UI &amp; Descriptions</t>
        </is>
      </c>
      <c r="F137" s="2" t="inlineStr">
        <is>
          <t>Text</t>
        </is>
      </c>
      <c r="G137" s="2" t="inlineStr">
        <is>
          <t>P2</t>
        </is>
      </c>
      <c r="H137" s="2" t="inlineStr">
        <is>
          <t>Done</t>
        </is>
      </c>
      <c r="I137" s="4" t="inlineStr"/>
      <c r="J137" s="2" t="inlineStr">
        <is>
          <t>aCTH descriptions</t>
        </is>
      </c>
      <c r="K137" s="3" t="inlineStr"/>
    </row>
    <row r="138">
      <c r="A138" s="2" t="inlineStr">
        <is>
          <t>T-137</t>
        </is>
      </c>
      <c r="B138" s="2" t="inlineStr"/>
      <c r="C138" s="3" t="inlineStr">
        <is>
          <t>Recoil CTH UI display (still shows old -x% per shot)</t>
        </is>
      </c>
      <c r="D138" s="2" t="inlineStr">
        <is>
          <t>GBO3</t>
        </is>
      </c>
      <c r="E138" s="2" t="inlineStr">
        <is>
          <t>UI &amp; Descriptions</t>
        </is>
      </c>
      <c r="F138" s="2" t="inlineStr">
        <is>
          <t>UX</t>
        </is>
      </c>
      <c r="G138" s="2" t="inlineStr">
        <is>
          <t>P2</t>
        </is>
      </c>
      <c r="H138" s="2" t="inlineStr">
        <is>
          <t>Open</t>
        </is>
      </c>
      <c r="I138" s="4" t="inlineStr"/>
      <c r="J138" s="2" t="inlineStr">
        <is>
          <t>aCTH descriptions</t>
        </is>
      </c>
      <c r="K138" s="3" t="inlineStr"/>
    </row>
    <row r="139">
      <c r="A139" s="2" t="inlineStr">
        <is>
          <t>T-138</t>
        </is>
      </c>
      <c r="B139" s="2" t="inlineStr"/>
      <c r="C139" s="3" t="inlineStr">
        <is>
          <t>Snapshot not resetting on same target (page description only)</t>
        </is>
      </c>
      <c r="D139" s="2" t="inlineStr">
        <is>
          <t>GBO3</t>
        </is>
      </c>
      <c r="E139" s="2" t="inlineStr">
        <is>
          <t>UI &amp; Descriptions</t>
        </is>
      </c>
      <c r="F139" s="2" t="inlineStr">
        <is>
          <t>Text</t>
        </is>
      </c>
      <c r="G139" s="2" t="inlineStr">
        <is>
          <t>P3</t>
        </is>
      </c>
      <c r="H139" s="2" t="inlineStr">
        <is>
          <t>Open</t>
        </is>
      </c>
      <c r="I139" s="4" t="inlineStr"/>
      <c r="J139" s="2" t="inlineStr">
        <is>
          <t>aCTH descriptions</t>
        </is>
      </c>
      <c r="K139" s="3" t="inlineStr"/>
    </row>
    <row r="140">
      <c r="A140" s="2" t="inlineStr">
        <is>
          <t>T-139</t>
        </is>
      </c>
      <c r="B140" s="2" t="inlineStr"/>
      <c r="C140" s="3" t="inlineStr">
        <is>
          <t>DualShot max aim = 3 instead of 1</t>
        </is>
      </c>
      <c r="D140" s="2" t="inlineStr">
        <is>
          <t>GBO3</t>
        </is>
      </c>
      <c r="E140" s="2" t="inlineStr">
        <is>
          <t>UI &amp; Descriptions</t>
        </is>
      </c>
      <c r="F140" s="2" t="inlineStr">
        <is>
          <t>Text</t>
        </is>
      </c>
      <c r="G140" s="2" t="inlineStr">
        <is>
          <t>P2</t>
        </is>
      </c>
      <c r="H140" s="2" t="inlineStr">
        <is>
          <t>Done</t>
        </is>
      </c>
      <c r="I140" s="4" t="inlineStr"/>
      <c r="J140" s="2" t="inlineStr">
        <is>
          <t>aCTH descriptions</t>
        </is>
      </c>
      <c r="K140" s="3" t="inlineStr"/>
    </row>
    <row r="141">
      <c r="A141" s="2" t="inlineStr">
        <is>
          <t>T-140</t>
        </is>
      </c>
      <c r="B141" s="2" t="inlineStr"/>
      <c r="C141" s="3" t="inlineStr">
        <is>
          <t>Autofire max aim levels no longer 1</t>
        </is>
      </c>
      <c r="D141" s="2" t="inlineStr">
        <is>
          <t>GBO3</t>
        </is>
      </c>
      <c r="E141" s="2" t="inlineStr">
        <is>
          <t>UI &amp; Descriptions</t>
        </is>
      </c>
      <c r="F141" s="2" t="inlineStr">
        <is>
          <t>Text</t>
        </is>
      </c>
      <c r="G141" s="2" t="inlineStr">
        <is>
          <t>P2</t>
        </is>
      </c>
      <c r="H141" s="2" t="inlineStr">
        <is>
          <t>Done</t>
        </is>
      </c>
      <c r="I141" s="4" t="inlineStr"/>
      <c r="J141" s="2" t="inlineStr">
        <is>
          <t>aCTH descriptions</t>
        </is>
      </c>
      <c r="K141" s="3" t="inlineStr"/>
    </row>
    <row r="142">
      <c r="A142" s="2" t="inlineStr">
        <is>
          <t>T-141</t>
        </is>
      </c>
      <c r="B142" s="2" t="inlineStr"/>
      <c r="C142" s="3" t="inlineStr">
        <is>
          <t>Burst shots no longer lose aim bonus</t>
        </is>
      </c>
      <c r="D142" s="2" t="inlineStr">
        <is>
          <t>GBO3</t>
        </is>
      </c>
      <c r="E142" s="2" t="inlineStr">
        <is>
          <t>UI &amp; Descriptions</t>
        </is>
      </c>
      <c r="F142" s="2" t="inlineStr">
        <is>
          <t>Text</t>
        </is>
      </c>
      <c r="G142" s="2" t="inlineStr">
        <is>
          <t>P2</t>
        </is>
      </c>
      <c r="H142" s="2" t="inlineStr">
        <is>
          <t>Done</t>
        </is>
      </c>
      <c r="I142" s="4" t="inlineStr"/>
      <c r="J142" s="2" t="inlineStr">
        <is>
          <t>aCTH descriptions</t>
        </is>
      </c>
      <c r="K142" s="3" t="inlineStr"/>
    </row>
    <row r="143">
      <c r="A143" s="2" t="inlineStr">
        <is>
          <t>T-142</t>
        </is>
      </c>
      <c r="B143" s="2" t="inlineStr"/>
      <c r="C143" s="3" t="inlineStr">
        <is>
          <t>Camouflage effect</t>
        </is>
      </c>
      <c r="D143" s="2" t="inlineStr">
        <is>
          <t>GBO3</t>
        </is>
      </c>
      <c r="E143" s="2" t="inlineStr">
        <is>
          <t>UI &amp; Descriptions</t>
        </is>
      </c>
      <c r="F143" s="2" t="inlineStr">
        <is>
          <t>Text</t>
        </is>
      </c>
      <c r="G143" s="2" t="inlineStr">
        <is>
          <t>P2</t>
        </is>
      </c>
      <c r="H143" s="2" t="inlineStr">
        <is>
          <t>Done</t>
        </is>
      </c>
      <c r="I143" s="4" t="inlineStr"/>
      <c r="J143" s="2" t="inlineStr">
        <is>
          <t>aCTH descriptions</t>
        </is>
      </c>
      <c r="K143" s="3" t="inlineStr"/>
    </row>
    <row r="144">
      <c r="A144" s="2" t="inlineStr">
        <is>
          <t>T-143</t>
        </is>
      </c>
      <c r="B144" s="2" t="inlineStr"/>
      <c r="C144" s="3" t="inlineStr">
        <is>
          <t>MG Setup / set-up bonuses (bonus is on being prone now)</t>
        </is>
      </c>
      <c r="D144" s="2" t="inlineStr">
        <is>
          <t>GBO3</t>
        </is>
      </c>
      <c r="E144" s="2" t="inlineStr">
        <is>
          <t>UI &amp; Descriptions</t>
        </is>
      </c>
      <c r="F144" s="2" t="inlineStr">
        <is>
          <t>Text</t>
        </is>
      </c>
      <c r="G144" s="2" t="inlineStr">
        <is>
          <t>P2</t>
        </is>
      </c>
      <c r="H144" s="2" t="inlineStr">
        <is>
          <t>Done</t>
        </is>
      </c>
      <c r="I144" s="4" t="inlineStr"/>
      <c r="J144" s="2" t="inlineStr">
        <is>
          <t>aCTH descriptions</t>
        </is>
      </c>
      <c r="K144" s="3" t="inlineStr"/>
    </row>
    <row r="145">
      <c r="A145" s="2" t="inlineStr">
        <is>
          <t>T-144</t>
        </is>
      </c>
      <c r="B145" s="2" t="inlineStr"/>
      <c r="C145" s="3" t="inlineStr">
        <is>
          <t>aCTH CTH UI: separate final-accuracy line (aperture vs target size); modifiers as 1.2x not 120%</t>
        </is>
      </c>
      <c r="D145" s="2" t="inlineStr">
        <is>
          <t>GBO3</t>
        </is>
      </c>
      <c r="E145" s="2" t="inlineStr">
        <is>
          <t>UI &amp; Descriptions</t>
        </is>
      </c>
      <c r="F145" s="2" t="inlineStr">
        <is>
          <t>UX</t>
        </is>
      </c>
      <c r="G145" s="2" t="inlineStr">
        <is>
          <t>P2</t>
        </is>
      </c>
      <c r="H145" s="2" t="inlineStr">
        <is>
          <t>Open</t>
        </is>
      </c>
      <c r="I145" s="4" t="inlineStr"/>
      <c r="J145" s="2" t="inlineStr">
        <is>
          <t>aCTH descriptions</t>
        </is>
      </c>
      <c r="K145" s="3" t="inlineStr">
        <is>
          <t>Original sentence is cut off ('and they should')</t>
        </is>
      </c>
    </row>
    <row r="146">
      <c r="A146" s="2" t="inlineStr">
        <is>
          <t>T-145</t>
        </is>
      </c>
      <c r="B146" s="2" t="inlineStr"/>
      <c r="C146" s="3" t="inlineStr">
        <is>
          <t>No stat boost in hyena or melee overhaul?</t>
        </is>
      </c>
      <c r="D146" s="2" t="inlineStr">
        <is>
          <t>AI Overhaul</t>
        </is>
      </c>
      <c r="E146" s="2" t="inlineStr">
        <is>
          <t>AI Behavior</t>
        </is>
      </c>
      <c r="F146" s="2" t="inlineStr">
        <is>
          <t>Balance</t>
        </is>
      </c>
      <c r="G146" s="2" t="inlineStr">
        <is>
          <t>P3</t>
        </is>
      </c>
      <c r="H146" s="2" t="inlineStr">
        <is>
          <t>Proposal</t>
        </is>
      </c>
      <c r="I146" s="4" t="inlineStr"/>
      <c r="J146" s="2" t="inlineStr">
        <is>
          <t>AI Overhaul</t>
        </is>
      </c>
      <c r="K146" s="3" t="inlineStr"/>
    </row>
    <row r="147">
      <c r="A147" s="2" t="inlineStr">
        <is>
          <t>T-146</t>
        </is>
      </c>
      <c r="B147" s="2" t="inlineStr"/>
      <c r="C147" s="3" t="inlineStr">
        <is>
          <t>Militia custom AI: stay close, defensive</t>
        </is>
      </c>
      <c r="D147" s="2" t="inlineStr">
        <is>
          <t>AI Overhaul</t>
        </is>
      </c>
      <c r="E147" s="2" t="inlineStr">
        <is>
          <t>AI Behavior</t>
        </is>
      </c>
      <c r="F147" s="2" t="inlineStr">
        <is>
          <t>Feature</t>
        </is>
      </c>
      <c r="G147" s="2" t="inlineStr">
        <is>
          <t>P3</t>
        </is>
      </c>
      <c r="H147" s="2" t="inlineStr">
        <is>
          <t>Open</t>
        </is>
      </c>
      <c r="I147" s="4" t="inlineStr"/>
      <c r="J147" s="2" t="inlineStr">
        <is>
          <t>AI Overhaul</t>
        </is>
      </c>
      <c r="K147" s="3" t="inlineStr"/>
    </row>
    <row r="148">
      <c r="A148" s="2" t="inlineStr">
        <is>
          <t>T-147</t>
        </is>
      </c>
      <c r="B148" s="2" t="inlineStr"/>
      <c r="C148" s="3" t="inlineStr">
        <is>
          <t>Hyenas and other animals unaware of overwatch</t>
        </is>
      </c>
      <c r="D148" s="2" t="inlineStr">
        <is>
          <t>AI Overhaul</t>
        </is>
      </c>
      <c r="E148" s="2" t="inlineStr">
        <is>
          <t>AI Behavior</t>
        </is>
      </c>
      <c r="F148" s="2" t="inlineStr">
        <is>
          <t>Feature</t>
        </is>
      </c>
      <c r="G148" s="2" t="inlineStr">
        <is>
          <t>P2</t>
        </is>
      </c>
      <c r="H148" s="2" t="inlineStr">
        <is>
          <t>Open</t>
        </is>
      </c>
      <c r="I148" s="4" t="inlineStr"/>
      <c r="J148" s="2" t="inlineStr">
        <is>
          <t>AI Overhaul</t>
        </is>
      </c>
      <c r="K148" s="3" t="inlineStr"/>
    </row>
    <row r="149">
      <c r="A149" s="2" t="inlineStr">
        <is>
          <t>T-148</t>
        </is>
      </c>
      <c r="B149" s="2" t="inlineStr"/>
      <c r="C149" s="3" t="inlineStr">
        <is>
          <t>Grenade decision: avoid when very close to another target</t>
        </is>
      </c>
      <c r="D149" s="2" t="inlineStr">
        <is>
          <t>AI Overhaul</t>
        </is>
      </c>
      <c r="E149" s="2" t="inlineStr">
        <is>
          <t>AI Behavior</t>
        </is>
      </c>
      <c r="F149" s="2" t="inlineStr">
        <is>
          <t>Feature</t>
        </is>
      </c>
      <c r="G149" s="2" t="inlineStr">
        <is>
          <t>P2</t>
        </is>
      </c>
      <c r="H149" s="2" t="inlineStr">
        <is>
          <t>Open</t>
        </is>
      </c>
      <c r="I149" s="4" t="inlineStr"/>
      <c r="J149" s="2" t="inlineStr">
        <is>
          <t>AI Overhaul</t>
        </is>
      </c>
      <c r="K149" s="3" t="inlineStr"/>
    </row>
    <row r="150">
      <c r="A150" s="2" t="inlineStr">
        <is>
          <t>T-149</t>
        </is>
      </c>
      <c r="B150" s="2" t="inlineStr"/>
      <c r="C150" s="3" t="inlineStr">
        <is>
          <t>Check pellet pre-calc damage rationale</t>
        </is>
      </c>
      <c r="D150" s="2" t="inlineStr">
        <is>
          <t>AI Overhaul</t>
        </is>
      </c>
      <c r="E150" s="2" t="inlineStr">
        <is>
          <t>AI Behavior</t>
        </is>
      </c>
      <c r="F150" s="2" t="inlineStr">
        <is>
          <t>Investigation</t>
        </is>
      </c>
      <c r="G150" s="2" t="inlineStr">
        <is>
          <t>P2</t>
        </is>
      </c>
      <c r="H150" s="2" t="inlineStr">
        <is>
          <t>Open</t>
        </is>
      </c>
      <c r="I150" s="4" t="inlineStr"/>
      <c r="J150" s="2" t="inlineStr">
        <is>
          <t>AI Overhaul</t>
        </is>
      </c>
      <c r="K150" s="3" t="inlineStr"/>
    </row>
    <row r="151">
      <c r="A151" s="2" t="inlineStr">
        <is>
          <t>T-150</t>
        </is>
      </c>
      <c r="B151" s="2" t="inlineStr"/>
      <c r="C151" s="3" t="inlineStr">
        <is>
          <t>Buckshot should not degrade to single shot</t>
        </is>
      </c>
      <c r="D151" s="2" t="inlineStr">
        <is>
          <t>AI Overhaul</t>
        </is>
      </c>
      <c r="E151" s="2" t="inlineStr">
        <is>
          <t>AI Behavior</t>
        </is>
      </c>
      <c r="F151" s="2" t="inlineStr">
        <is>
          <t>Bug</t>
        </is>
      </c>
      <c r="G151" s="2" t="inlineStr">
        <is>
          <t>P2</t>
        </is>
      </c>
      <c r="H151" s="2" t="inlineStr">
        <is>
          <t>Done</t>
        </is>
      </c>
      <c r="I151" s="4" t="inlineStr"/>
      <c r="J151" s="2" t="inlineStr">
        <is>
          <t>AI Overhaul</t>
        </is>
      </c>
      <c r="K151" s="3" t="inlineStr"/>
    </row>
    <row r="152">
      <c r="A152" s="2" t="inlineStr">
        <is>
          <t>T-151</t>
        </is>
      </c>
      <c r="B152" s="2" t="inlineStr"/>
      <c r="C152" s="3" t="inlineStr">
        <is>
          <t>Mechanics check</t>
        </is>
      </c>
      <c r="D152" s="2" t="inlineStr">
        <is>
          <t>AI Overhaul</t>
        </is>
      </c>
      <c r="E152" s="2" t="inlineStr">
        <is>
          <t>AI Behavior</t>
        </is>
      </c>
      <c r="F152" s="2" t="inlineStr">
        <is>
          <t>QA</t>
        </is>
      </c>
      <c r="G152" s="2" t="inlineStr">
        <is>
          <t>P2</t>
        </is>
      </c>
      <c r="H152" s="2" t="inlineStr">
        <is>
          <t>Done</t>
        </is>
      </c>
      <c r="I152" s="4" t="inlineStr"/>
      <c r="J152" s="2" t="inlineStr">
        <is>
          <t>AI Overhaul</t>
        </is>
      </c>
      <c r="K152" s="3" t="inlineStr"/>
    </row>
    <row r="153">
      <c r="A153" s="2" t="inlineStr">
        <is>
          <t>T-152</t>
        </is>
      </c>
      <c r="B153" s="2" t="inlineStr"/>
      <c r="C153" s="3" t="inlineStr">
        <is>
          <t>aCTH: aim for the head if it's the only part out of cover</t>
        </is>
      </c>
      <c r="D153" s="2" t="inlineStr">
        <is>
          <t>AI Overhaul</t>
        </is>
      </c>
      <c r="E153" s="2" t="inlineStr">
        <is>
          <t>AI Behavior</t>
        </is>
      </c>
      <c r="F153" s="2" t="inlineStr">
        <is>
          <t>Feature</t>
        </is>
      </c>
      <c r="G153" s="2" t="inlineStr">
        <is>
          <t>P2</t>
        </is>
      </c>
      <c r="H153" s="2" t="inlineStr">
        <is>
          <t>Open</t>
        </is>
      </c>
      <c r="I153" s="4" t="inlineStr"/>
      <c r="J153" s="2" t="inlineStr">
        <is>
          <t>AI Overhaul</t>
        </is>
      </c>
      <c r="K153" s="3" t="inlineStr"/>
    </row>
    <row r="154">
      <c r="A154" s="2" t="inlineStr">
        <is>
          <t>T-153</t>
        </is>
      </c>
      <c r="B154" s="2" t="inlineStr"/>
      <c r="C154" s="3" t="inlineStr">
        <is>
          <t>Enemy LastPos generates threat; enemies chase it</t>
        </is>
      </c>
      <c r="D154" s="2" t="inlineStr">
        <is>
          <t>AI Overhaul</t>
        </is>
      </c>
      <c r="E154" s="2" t="inlineStr">
        <is>
          <t>AI Behavior</t>
        </is>
      </c>
      <c r="F154" s="2" t="inlineStr">
        <is>
          <t>Feature</t>
        </is>
      </c>
      <c r="G154" s="2" t="inlineStr">
        <is>
          <t>P1</t>
        </is>
      </c>
      <c r="H154" s="2" t="inlineStr">
        <is>
          <t>Done</t>
        </is>
      </c>
      <c r="I154" s="4" t="inlineStr"/>
      <c r="J154" s="2" t="inlineStr">
        <is>
          <t>AI Overhaul</t>
        </is>
      </c>
      <c r="K154" s="3" t="inlineStr"/>
    </row>
    <row r="155">
      <c r="A155" s="2" t="inlineStr">
        <is>
          <t>T-154</t>
        </is>
      </c>
      <c r="B155" s="2" t="inlineStr"/>
      <c r="C155" s="3" t="inlineStr">
        <is>
          <t>Check grenade distribution (more timed grenades)</t>
        </is>
      </c>
      <c r="D155" s="2" t="inlineStr">
        <is>
          <t>AI Overhaul</t>
        </is>
      </c>
      <c r="E155" s="2" t="inlineStr">
        <is>
          <t>Loot &amp; Economy</t>
        </is>
      </c>
      <c r="F155" s="2" t="inlineStr">
        <is>
          <t>Balance</t>
        </is>
      </c>
      <c r="G155" s="2" t="inlineStr">
        <is>
          <t>P2</t>
        </is>
      </c>
      <c r="H155" s="2" t="inlineStr">
        <is>
          <t>Done</t>
        </is>
      </c>
      <c r="I155" s="4" t="inlineStr"/>
      <c r="J155" s="2" t="inlineStr">
        <is>
          <t>AI Overhaul</t>
        </is>
      </c>
      <c r="K155" s="3" t="inlineStr"/>
    </row>
    <row r="156">
      <c r="A156" s="2" t="inlineStr">
        <is>
          <t>T-155</t>
        </is>
      </c>
      <c r="B156" s="2" t="inlineStr"/>
      <c r="C156" s="3" t="inlineStr">
        <is>
          <t>Check AI recoil calc in aCTH</t>
        </is>
      </c>
      <c r="D156" s="2" t="inlineStr">
        <is>
          <t>AI Overhaul</t>
        </is>
      </c>
      <c r="E156" s="2" t="inlineStr">
        <is>
          <t>AI Behavior</t>
        </is>
      </c>
      <c r="F156" s="2" t="inlineStr">
        <is>
          <t>QA</t>
        </is>
      </c>
      <c r="G156" s="2" t="inlineStr">
        <is>
          <t>P2</t>
        </is>
      </c>
      <c r="H156" s="2" t="inlineStr">
        <is>
          <t>Done</t>
        </is>
      </c>
      <c r="I156" s="4" t="inlineStr"/>
      <c r="J156" s="2" t="inlineStr">
        <is>
          <t>AI Overhaul</t>
        </is>
      </c>
      <c r="K156" s="3" t="inlineStr"/>
    </row>
    <row r="157">
      <c r="A157" s="2" t="inlineStr">
        <is>
          <t>T-156</t>
        </is>
      </c>
      <c r="B157" s="2" t="inlineStr"/>
      <c r="C157" s="3" t="inlineStr">
        <is>
          <t>AI shooting prone behind tiny cover it can't hit through</t>
        </is>
      </c>
      <c r="D157" s="2" t="inlineStr">
        <is>
          <t>AI Overhaul</t>
        </is>
      </c>
      <c r="E157" s="2" t="inlineStr">
        <is>
          <t>AI Behavior</t>
        </is>
      </c>
      <c r="F157" s="2" t="inlineStr">
        <is>
          <t>Bug</t>
        </is>
      </c>
      <c r="G157" s="2" t="inlineStr">
        <is>
          <t>P1</t>
        </is>
      </c>
      <c r="H157" s="2" t="inlineStr">
        <is>
          <t>Done</t>
        </is>
      </c>
      <c r="I157" s="4" t="inlineStr"/>
      <c r="J157" s="2" t="inlineStr">
        <is>
          <t>AI Overhaul</t>
        </is>
      </c>
      <c r="K157" s="3" t="inlineStr">
        <is>
          <t>Follow-up: confirm they don't lose turns</t>
        </is>
      </c>
    </row>
    <row r="158">
      <c r="A158" s="2" t="inlineStr">
        <is>
          <t>T-157</t>
        </is>
      </c>
      <c r="B158" s="2" t="inlineStr"/>
      <c r="C158" s="3" t="inlineStr">
        <is>
          <t>Tune Threat Exposure, possibly simplify</t>
        </is>
      </c>
      <c r="D158" s="2" t="inlineStr">
        <is>
          <t>AI Overhaul</t>
        </is>
      </c>
      <c r="E158" s="2" t="inlineStr">
        <is>
          <t>AI Behavior</t>
        </is>
      </c>
      <c r="F158" s="2" t="inlineStr">
        <is>
          <t>Balance</t>
        </is>
      </c>
      <c r="G158" s="2" t="inlineStr">
        <is>
          <t>P2</t>
        </is>
      </c>
      <c r="H158" s="2" t="inlineStr">
        <is>
          <t>Done</t>
        </is>
      </c>
      <c r="I158" s="4" t="inlineStr"/>
      <c r="J158" s="2" t="inlineStr">
        <is>
          <t>AI Overhaul</t>
        </is>
      </c>
      <c r="K158" s="3" t="inlineStr"/>
    </row>
    <row r="159">
      <c r="A159" s="2" t="inlineStr">
        <is>
          <t>T-158</t>
        </is>
      </c>
      <c r="B159" s="2" t="inlineStr">
        <is>
          <t>T-157</t>
        </is>
      </c>
      <c r="C159" s="3" t="inlineStr">
        <is>
          <t xml:space="preserve">    ↳ Fix LOS</t>
        </is>
      </c>
      <c r="D159" s="2" t="inlineStr">
        <is>
          <t>AI Overhaul</t>
        </is>
      </c>
      <c r="E159" s="2" t="inlineStr">
        <is>
          <t>AI Behavior</t>
        </is>
      </c>
      <c r="F159" s="2" t="inlineStr">
        <is>
          <t>Bug</t>
        </is>
      </c>
      <c r="G159" s="2" t="inlineStr">
        <is>
          <t>P2</t>
        </is>
      </c>
      <c r="H159" s="2" t="inlineStr">
        <is>
          <t>Done</t>
        </is>
      </c>
      <c r="I159" s="4" t="inlineStr"/>
      <c r="J159" s="2" t="inlineStr">
        <is>
          <t>AI Overhaul</t>
        </is>
      </c>
      <c r="K159" s="3" t="inlineStr"/>
    </row>
    <row r="160">
      <c r="A160" s="2" t="inlineStr">
        <is>
          <t>T-159</t>
        </is>
      </c>
      <c r="B160" s="2" t="inlineStr">
        <is>
          <t>T-157</t>
        </is>
      </c>
      <c r="C160" s="3" t="inlineStr">
        <is>
          <t xml:space="preserve">    ↳ Fix debug overlay not decomposing ready curve</t>
        </is>
      </c>
      <c r="D160" s="2" t="inlineStr">
        <is>
          <t>AI Overhaul</t>
        </is>
      </c>
      <c r="E160" s="2" t="inlineStr">
        <is>
          <t>AI Behavior</t>
        </is>
      </c>
      <c r="F160" s="2" t="inlineStr">
        <is>
          <t>Tooling/Docs</t>
        </is>
      </c>
      <c r="G160" s="2" t="inlineStr">
        <is>
          <t>P3</t>
        </is>
      </c>
      <c r="H160" s="2" t="inlineStr">
        <is>
          <t>Done</t>
        </is>
      </c>
      <c r="I160" s="4" t="inlineStr"/>
      <c r="J160" s="2" t="inlineStr">
        <is>
          <t>AI Overhaul</t>
        </is>
      </c>
      <c r="K160" s="3" t="inlineStr"/>
    </row>
    <row r="161">
      <c r="A161" s="2" t="inlineStr">
        <is>
          <t>T-160</t>
        </is>
      </c>
      <c r="B161" s="2" t="inlineStr"/>
      <c r="C161" s="3" t="inlineStr">
        <is>
          <t>Smoke usage</t>
        </is>
      </c>
      <c r="D161" s="2" t="inlineStr">
        <is>
          <t>AI Overhaul</t>
        </is>
      </c>
      <c r="E161" s="2" t="inlineStr">
        <is>
          <t>AI Behavior</t>
        </is>
      </c>
      <c r="F161" s="2" t="inlineStr">
        <is>
          <t>Feature</t>
        </is>
      </c>
      <c r="G161" s="2" t="inlineStr">
        <is>
          <t>P2</t>
        </is>
      </c>
      <c r="H161" s="2" t="inlineStr">
        <is>
          <t>Open</t>
        </is>
      </c>
      <c r="I161" s="4" t="inlineStr"/>
      <c r="J161" s="2" t="inlineStr">
        <is>
          <t>AI Overhaul new stuff</t>
        </is>
      </c>
      <c r="K161" s="3" t="inlineStr"/>
    </row>
    <row r="162">
      <c r="A162" s="2" t="inlineStr">
        <is>
          <t>T-161</t>
        </is>
      </c>
      <c r="B162" s="2" t="inlineStr"/>
      <c r="C162" s="3" t="inlineStr">
        <is>
          <t>Bandage usage</t>
        </is>
      </c>
      <c r="D162" s="2" t="inlineStr">
        <is>
          <t>AI Overhaul</t>
        </is>
      </c>
      <c r="E162" s="2" t="inlineStr">
        <is>
          <t>AI Behavior</t>
        </is>
      </c>
      <c r="F162" s="2" t="inlineStr">
        <is>
          <t>Feature</t>
        </is>
      </c>
      <c r="G162" s="2" t="inlineStr">
        <is>
          <t>P2</t>
        </is>
      </c>
      <c r="H162" s="2" t="inlineStr">
        <is>
          <t>Open</t>
        </is>
      </c>
      <c r="I162" s="4" t="inlineStr"/>
      <c r="J162" s="2" t="inlineStr">
        <is>
          <t>AI Overhaul new stuff</t>
        </is>
      </c>
      <c r="K162" s="3" t="inlineStr"/>
    </row>
    <row r="163">
      <c r="A163" s="2" t="inlineStr">
        <is>
          <t>T-162</t>
        </is>
      </c>
      <c r="B163" s="2" t="inlineStr"/>
      <c r="C163" s="3" t="inlineStr">
        <is>
          <t>Overwatch / grenades at last target pos when unit is hidden (esp. rooftops)</t>
        </is>
      </c>
      <c r="D163" s="2" t="inlineStr">
        <is>
          <t>AI Overhaul</t>
        </is>
      </c>
      <c r="E163" s="2" t="inlineStr">
        <is>
          <t>AI Behavior</t>
        </is>
      </c>
      <c r="F163" s="2" t="inlineStr">
        <is>
          <t>Feature</t>
        </is>
      </c>
      <c r="G163" s="2" t="inlineStr">
        <is>
          <t>P2</t>
        </is>
      </c>
      <c r="H163" s="2" t="inlineStr">
        <is>
          <t>Open</t>
        </is>
      </c>
      <c r="I163" s="4" t="inlineStr"/>
      <c r="J163" s="2" t="inlineStr">
        <is>
          <t>AI Overhaul new stuff</t>
        </is>
      </c>
      <c r="K163" s="3" t="inlineStr"/>
    </row>
    <row r="164">
      <c r="A164" s="2" t="inlineStr">
        <is>
          <t>T-163</t>
        </is>
      </c>
      <c r="B164" s="2" t="inlineStr"/>
      <c r="C164" s="3" t="inlineStr">
        <is>
          <t>Use Take Cover action more</t>
        </is>
      </c>
      <c r="D164" s="2" t="inlineStr">
        <is>
          <t>AI Overhaul</t>
        </is>
      </c>
      <c r="E164" s="2" t="inlineStr">
        <is>
          <t>AI Behavior</t>
        </is>
      </c>
      <c r="F164" s="2" t="inlineStr">
        <is>
          <t>Feature</t>
        </is>
      </c>
      <c r="G164" s="2" t="inlineStr">
        <is>
          <t>P3</t>
        </is>
      </c>
      <c r="H164" s="2" t="inlineStr">
        <is>
          <t>Open</t>
        </is>
      </c>
      <c r="I164" s="4" t="inlineStr"/>
      <c r="J164" s="2" t="inlineStr">
        <is>
          <t>AI Overhaul low priority</t>
        </is>
      </c>
      <c r="K164" s="3" t="inlineStr"/>
    </row>
    <row r="165">
      <c r="A165" s="2" t="inlineStr">
        <is>
          <t>T-164</t>
        </is>
      </c>
      <c r="B165" s="2" t="inlineStr"/>
      <c r="C165" s="3" t="inlineStr">
        <is>
          <t>Don't shoot through walls (esp. aCTH)</t>
        </is>
      </c>
      <c r="D165" s="2" t="inlineStr">
        <is>
          <t>AI Overhaul</t>
        </is>
      </c>
      <c r="E165" s="2" t="inlineStr">
        <is>
          <t>AI Behavior</t>
        </is>
      </c>
      <c r="F165" s="2" t="inlineStr">
        <is>
          <t>Bug</t>
        </is>
      </c>
      <c r="G165" s="2" t="inlineStr">
        <is>
          <t>P3</t>
        </is>
      </c>
      <c r="H165" s="2" t="inlineStr">
        <is>
          <t>Open</t>
        </is>
      </c>
      <c r="I165" s="4" t="inlineStr"/>
      <c r="J165" s="2" t="inlineStr">
        <is>
          <t>AI Overhaul low priority</t>
        </is>
      </c>
      <c r="K165" s="3" t="inlineStr"/>
    </row>
    <row r="166">
      <c r="A166" s="2" t="inlineStr">
        <is>
          <t>T-165</t>
        </is>
      </c>
      <c r="B166" s="2" t="inlineStr"/>
      <c r="C166" s="3" t="inlineStr">
        <is>
          <t>Under Pin Down, ignore it if the attack is unlikely to hit</t>
        </is>
      </c>
      <c r="D166" s="2" t="inlineStr">
        <is>
          <t>AI Overhaul</t>
        </is>
      </c>
      <c r="E166" s="2" t="inlineStr">
        <is>
          <t>AI Behavior</t>
        </is>
      </c>
      <c r="F166" s="2" t="inlineStr">
        <is>
          <t>Feature</t>
        </is>
      </c>
      <c r="G166" s="2" t="inlineStr">
        <is>
          <t>P3</t>
        </is>
      </c>
      <c r="H166" s="2" t="inlineStr">
        <is>
          <t>Open</t>
        </is>
      </c>
      <c r="I166" s="4" t="inlineStr"/>
      <c r="J166" s="2" t="inlineStr">
        <is>
          <t>AI Overhaul low priority</t>
        </is>
      </c>
      <c r="K166" s="3" t="inlineStr"/>
    </row>
    <row r="167">
      <c r="A167" s="2" t="inlineStr">
        <is>
          <t>T-166</t>
        </is>
      </c>
      <c r="B167" s="2" t="inlineStr"/>
      <c r="C167" s="3" t="inlineStr">
        <is>
          <t>'Impatience': more aggressive when neither being shot nor hitting</t>
        </is>
      </c>
      <c r="D167" s="2" t="inlineStr">
        <is>
          <t>AI Overhaul</t>
        </is>
      </c>
      <c r="E167" s="2" t="inlineStr">
        <is>
          <t>AI Behavior</t>
        </is>
      </c>
      <c r="F167" s="2" t="inlineStr">
        <is>
          <t>Feature</t>
        </is>
      </c>
      <c r="G167" s="2" t="inlineStr">
        <is>
          <t>P3</t>
        </is>
      </c>
      <c r="H167" s="2" t="inlineStr">
        <is>
          <t>Open</t>
        </is>
      </c>
      <c r="I167" s="4" t="inlineStr"/>
      <c r="J167" s="2" t="inlineStr">
        <is>
          <t>AI Overhaul low priority</t>
        </is>
      </c>
      <c r="K167" s="3" t="inlineStr"/>
    </row>
    <row r="168">
      <c r="A168" s="2" t="inlineStr">
        <is>
          <t>T-167</t>
        </is>
      </c>
      <c r="B168" s="2" t="inlineStr"/>
      <c r="C168" s="3" t="inlineStr">
        <is>
          <t>Groups more aggressive?</t>
        </is>
      </c>
      <c r="D168" s="2" t="inlineStr">
        <is>
          <t>AI Overhaul</t>
        </is>
      </c>
      <c r="E168" s="2" t="inlineStr">
        <is>
          <t>AI Behavior</t>
        </is>
      </c>
      <c r="F168" s="2" t="inlineStr">
        <is>
          <t>Balance</t>
        </is>
      </c>
      <c r="G168" s="2" t="inlineStr">
        <is>
          <t>P3</t>
        </is>
      </c>
      <c r="H168" s="2" t="inlineStr">
        <is>
          <t>Proposal</t>
        </is>
      </c>
      <c r="I168" s="4" t="inlineStr"/>
      <c r="J168" s="2" t="inlineStr">
        <is>
          <t>AI Overhaul low priority</t>
        </is>
      </c>
      <c r="K168" s="3" t="inlineStr"/>
    </row>
    <row r="169">
      <c r="A169" s="2" t="inlineStr">
        <is>
          <t>T-168</t>
        </is>
      </c>
      <c r="B169" s="2" t="inlineStr"/>
      <c r="C169" s="3" t="inlineStr">
        <is>
          <t>Pin Down action</t>
        </is>
      </c>
      <c r="D169" s="2" t="inlineStr">
        <is>
          <t>AI Overhaul</t>
        </is>
      </c>
      <c r="E169" s="2" t="inlineStr">
        <is>
          <t>AI Behavior</t>
        </is>
      </c>
      <c r="F169" s="2" t="inlineStr">
        <is>
          <t>Feature</t>
        </is>
      </c>
      <c r="G169" s="2" t="inlineStr">
        <is>
          <t>P3</t>
        </is>
      </c>
      <c r="H169" s="2" t="inlineStr">
        <is>
          <t>Disabled</t>
        </is>
      </c>
      <c r="I169" s="4" t="inlineStr"/>
      <c r="J169" s="2" t="inlineStr">
        <is>
          <t>AI Overhaul low priority</t>
        </is>
      </c>
      <c r="K169" s="3" t="inlineStr">
        <is>
          <t>Disabled for now</t>
        </is>
      </c>
    </row>
    <row r="170">
      <c r="A170" s="2" t="inlineStr">
        <is>
          <t>T-169</t>
        </is>
      </c>
      <c r="B170" s="2" t="inlineStr"/>
      <c r="C170" s="3" t="inlineStr">
        <is>
          <t>Team strategy: autoweapons suppress, skirmishers close in</t>
        </is>
      </c>
      <c r="D170" s="2" t="inlineStr">
        <is>
          <t>AI Overhaul</t>
        </is>
      </c>
      <c r="E170" s="2" t="inlineStr">
        <is>
          <t>AI Behavior</t>
        </is>
      </c>
      <c r="F170" s="2" t="inlineStr">
        <is>
          <t>Feature</t>
        </is>
      </c>
      <c r="G170" s="2" t="inlineStr">
        <is>
          <t>P3</t>
        </is>
      </c>
      <c r="H170" s="2" t="inlineStr">
        <is>
          <t>Open</t>
        </is>
      </c>
      <c r="I170" s="4" t="inlineStr"/>
      <c r="J170" s="2" t="inlineStr">
        <is>
          <t>AI Overhaul low priority</t>
        </is>
      </c>
      <c r="K170" s="3" t="inlineStr"/>
    </row>
    <row r="171">
      <c r="A171" s="2" t="inlineStr">
        <is>
          <t>T-170</t>
        </is>
      </c>
      <c r="B171" s="2" t="inlineStr"/>
      <c r="C171" s="3" t="inlineStr">
        <is>
          <t>Stealth</t>
        </is>
      </c>
      <c r="D171" s="2" t="inlineStr">
        <is>
          <t>AI Overhaul</t>
        </is>
      </c>
      <c r="E171" s="2" t="inlineStr">
        <is>
          <t>AI Behavior</t>
        </is>
      </c>
      <c r="F171" s="2" t="inlineStr">
        <is>
          <t>Feature</t>
        </is>
      </c>
      <c r="G171" s="2" t="inlineStr">
        <is>
          <t>P4</t>
        </is>
      </c>
      <c r="H171" s="2" t="inlineStr">
        <is>
          <t>Open</t>
        </is>
      </c>
      <c r="I171" s="4" t="inlineStr"/>
      <c r="J171" s="2" t="inlineStr">
        <is>
          <t>AI Overhaul luxury</t>
        </is>
      </c>
      <c r="K171" s="3" t="inlineStr"/>
    </row>
    <row r="172">
      <c r="A172" s="2" t="inlineStr">
        <is>
          <t>T-171</t>
        </is>
      </c>
      <c r="B172" s="2" t="inlineStr"/>
      <c r="C172" s="3" t="inlineStr">
        <is>
          <t>Out-of-sight score when flanking</t>
        </is>
      </c>
      <c r="D172" s="2" t="inlineStr">
        <is>
          <t>AI Overhaul</t>
        </is>
      </c>
      <c r="E172" s="2" t="inlineStr">
        <is>
          <t>AI Behavior</t>
        </is>
      </c>
      <c r="F172" s="2" t="inlineStr">
        <is>
          <t>Feature</t>
        </is>
      </c>
      <c r="G172" s="2" t="inlineStr">
        <is>
          <t>P4</t>
        </is>
      </c>
      <c r="H172" s="2" t="inlineStr">
        <is>
          <t>Open</t>
        </is>
      </c>
      <c r="I172" s="4" t="inlineStr"/>
      <c r="J172" s="2" t="inlineStr">
        <is>
          <t>AI Overhaul luxury</t>
        </is>
      </c>
      <c r="K172" s="3" t="inlineStr"/>
    </row>
    <row r="173">
      <c r="A173" s="2" t="inlineStr">
        <is>
          <t>T-172</t>
        </is>
      </c>
      <c r="B173" s="2" t="inlineStr"/>
      <c r="C173" s="3" t="inlineStr">
        <is>
          <t>Unify all crits into Crit Scaling (per aim, HEC-based)</t>
        </is>
      </c>
      <c r="D173" s="2" t="inlineStr">
        <is>
          <t>GBO3</t>
        </is>
      </c>
      <c r="E173" s="2" t="inlineStr">
        <is>
          <t>Accuracy</t>
        </is>
      </c>
      <c r="F173" s="2" t="inlineStr">
        <is>
          <t>Feature</t>
        </is>
      </c>
      <c r="G173" s="2" t="inlineStr">
        <is>
          <t>P2</t>
        </is>
      </c>
      <c r="H173" s="2" t="inlineStr">
        <is>
          <t>Done</t>
        </is>
      </c>
      <c r="I173" s="4" t="inlineStr"/>
      <c r="J173" s="2" t="inlineStr">
        <is>
          <t>New mechanics (luxury)</t>
        </is>
      </c>
      <c r="K173" s="3" t="inlineStr"/>
    </row>
    <row r="174">
      <c r="A174" s="2" t="inlineStr">
        <is>
          <t>T-173</t>
        </is>
      </c>
      <c r="B174" s="2" t="inlineStr"/>
      <c r="C174" s="3" t="inlineStr">
        <is>
          <t>Bonus crit per aim only on first burst shot?</t>
        </is>
      </c>
      <c r="D174" s="2" t="inlineStr">
        <is>
          <t>GBO3</t>
        </is>
      </c>
      <c r="E174" s="2" t="inlineStr">
        <is>
          <t>Fire Modes</t>
        </is>
      </c>
      <c r="F174" s="2" t="inlineStr">
        <is>
          <t>Balance</t>
        </is>
      </c>
      <c r="G174" s="2" t="inlineStr">
        <is>
          <t>P4</t>
        </is>
      </c>
      <c r="H174" s="2" t="inlineStr">
        <is>
          <t>Proposal</t>
        </is>
      </c>
      <c r="I174" s="4" t="inlineStr"/>
      <c r="J174" s="2" t="inlineStr">
        <is>
          <t>New mechanics (luxury)</t>
        </is>
      </c>
      <c r="K174" s="3" t="inlineStr"/>
    </row>
    <row r="175">
      <c r="A175" s="2" t="inlineStr">
        <is>
          <t>T-174</t>
        </is>
      </c>
      <c r="B175" s="2" t="inlineStr"/>
      <c r="C175" s="3" t="inlineStr">
        <is>
          <t>MGs and bipods set up on cover/crouch</t>
        </is>
      </c>
      <c r="D175" s="2" t="inlineStr">
        <is>
          <t>GBO3</t>
        </is>
      </c>
      <c r="E175" s="2" t="inlineStr">
        <is>
          <t>Recoil</t>
        </is>
      </c>
      <c r="F175" s="2" t="inlineStr">
        <is>
          <t>Feature</t>
        </is>
      </c>
      <c r="G175" s="2" t="inlineStr">
        <is>
          <t>P4</t>
        </is>
      </c>
      <c r="H175" s="2" t="inlineStr">
        <is>
          <t>Open</t>
        </is>
      </c>
      <c r="I175" s="4" t="inlineStr"/>
      <c r="J175" s="2" t="inlineStr">
        <is>
          <t>New mechanics (luxury)</t>
        </is>
      </c>
      <c r="K175" s="3" t="inlineStr"/>
    </row>
    <row r="176">
      <c r="A176" s="2" t="inlineStr">
        <is>
          <t>T-175</t>
        </is>
      </c>
      <c r="B176" s="2" t="inlineStr"/>
      <c r="C176" s="3" t="inlineStr">
        <is>
          <t>Vision cones / directional vision (AI must account for it)</t>
        </is>
      </c>
      <c r="D176" s="2" t="inlineStr">
        <is>
          <t>GBO3</t>
        </is>
      </c>
      <c r="E176" s="2" t="inlineStr">
        <is>
          <t>Visibility</t>
        </is>
      </c>
      <c r="F176" s="2" t="inlineStr">
        <is>
          <t>Feature</t>
        </is>
      </c>
      <c r="G176" s="2" t="inlineStr">
        <is>
          <t>P4</t>
        </is>
      </c>
      <c r="H176" s="2" t="inlineStr">
        <is>
          <t>Open</t>
        </is>
      </c>
      <c r="I176" s="4" t="inlineStr"/>
      <c r="J176" s="2" t="inlineStr">
        <is>
          <t>New mechanics (luxury)</t>
        </is>
      </c>
      <c r="K176" s="3" t="inlineStr">
        <is>
          <t>'MEGA LUXURY'; cross-mod with AI Overhaul</t>
        </is>
      </c>
    </row>
    <row r="177">
      <c r="A177" s="2" t="inlineStr">
        <is>
          <t>T-176</t>
        </is>
      </c>
      <c r="B177" s="2" t="inlineStr"/>
      <c r="C177" s="3" t="inlineStr">
        <is>
          <t>Agility defense against melee</t>
        </is>
      </c>
      <c r="D177" s="2" t="inlineStr">
        <is>
          <t>GBO3</t>
        </is>
      </c>
      <c r="E177" s="2" t="inlineStr">
        <is>
          <t>Perks &amp; Traits</t>
        </is>
      </c>
      <c r="F177" s="2" t="inlineStr">
        <is>
          <t>Feature</t>
        </is>
      </c>
      <c r="G177" s="2" t="inlineStr">
        <is>
          <t>P4</t>
        </is>
      </c>
      <c r="H177" s="2" t="inlineStr">
        <is>
          <t>Open</t>
        </is>
      </c>
      <c r="I177" s="4" t="inlineStr"/>
      <c r="J177" s="2" t="inlineStr">
        <is>
          <t>New mechanics (luxury)</t>
        </is>
      </c>
      <c r="K177" s="3" t="inlineStr"/>
    </row>
    <row r="178">
      <c r="A178" s="2" t="inlineStr">
        <is>
          <t>T-177</t>
        </is>
      </c>
      <c r="B178" s="2" t="inlineStr"/>
      <c r="C178" s="3" t="inlineStr">
        <is>
          <t>Rare calibers distribution (if kept)</t>
        </is>
      </c>
      <c r="D178" s="2" t="inlineStr">
        <is>
          <t>GBO3</t>
        </is>
      </c>
      <c r="E178" s="2" t="inlineStr">
        <is>
          <t>Loot &amp; Economy</t>
        </is>
      </c>
      <c r="F178" s="2" t="inlineStr">
        <is>
          <t>Balance</t>
        </is>
      </c>
      <c r="G178" s="2" t="inlineStr">
        <is>
          <t>P4</t>
        </is>
      </c>
      <c r="H178" s="2" t="inlineStr">
        <is>
          <t>Open</t>
        </is>
      </c>
      <c r="I178" s="4" t="inlineStr"/>
      <c r="J178" s="2" t="inlineStr">
        <is>
          <t>Low priority</t>
        </is>
      </c>
      <c r="K178" s="3" t="inlineStr"/>
    </row>
  </sheetData>
  <conditionalFormatting sqref="A2:K378">
    <cfRule type="expression" priority="1" dxfId="0" stopIfTrue="1">
      <formula>$H2="Done"</formula>
    </cfRule>
  </conditionalFormatting>
  <conditionalFormatting sqref="G2:G378">
    <cfRule type="expression" priority="2" dxfId="1">
      <formula>$G2="P1"</formula>
    </cfRule>
    <cfRule type="expression" priority="3" dxfId="2">
      <formula>$G2="P2"</formula>
    </cfRule>
    <cfRule type="expression" priority="4" dxfId="3">
      <formula>$G2="P3"</formula>
    </cfRule>
    <cfRule type="expression" priority="5" dxfId="4">
      <formula>$G2="P4"</formula>
    </cfRule>
  </conditionalFormatting>
  <conditionalFormatting sqref="H2:H378">
    <cfRule type="expression" priority="6" dxfId="5">
      <formula>$H2="Open"</formula>
    </cfRule>
    <cfRule type="expression" priority="7" dxfId="6">
      <formula>$H2="Proposal"</formula>
    </cfRule>
    <cfRule type="expression" priority="8" dxfId="7">
      <formula>$H2="Needs testing"</formula>
    </cfRule>
    <cfRule type="expression" priority="9" dxfId="4">
      <formula>$H2="Disabled"</formula>
    </cfRule>
    <cfRule type="expression" priority="10" dxfId="8">
      <formula>$H2="Done"</formula>
    </cfRule>
  </conditionalFormatting>
  <conditionalFormatting sqref="F2:F378">
    <cfRule type="expression" priority="11" dxfId="9">
      <formula>$F2="Bug"</formula>
    </cfRule>
  </conditionalFormatting>
  <dataValidations count="5">
    <dataValidation sqref="D2:D378" showDropDown="0" showInputMessage="0" showErrorMessage="0" allowBlank="1" type="list">
      <formula1>"GBO3,AI Overhaul,Explosive Overhaul,ToG Patch"</formula1>
    </dataValidation>
    <dataValidation sqref="F2:F378" showDropDown="0" showInputMessage="0" showErrorMessage="0" allowBlank="1" type="list">
      <formula1>"Bug,Feature,Balance,UX,Text,Investigation,QA,Refactor,Content,Art/Content,Tooling/Docs"</formula1>
    </dataValidation>
    <dataValidation sqref="G2:G378" showDropDown="0" showInputMessage="0" showErrorMessage="0" allowBlank="1" type="list">
      <formula1>"P1,P2,P3,P4"</formula1>
    </dataValidation>
    <dataValidation sqref="H2:H378" showDropDown="0" showInputMessage="0" showErrorMessage="0" allowBlank="1" type="list">
      <formula1>"Open,Proposal,Needs testing,Disabled,Done"</formula1>
    </dataValidation>
    <dataValidation sqref="I2:I378" showDropDown="0" showInputMessage="0" showErrorMessage="0" allowBlank="1" type="list">
      <formula1>"XS,S,M,L,XL"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5" t="inlineStr">
        <is>
          <t>By priority</t>
        </is>
      </c>
    </row>
    <row r="2">
      <c r="A2" s="6" t="inlineStr">
        <is>
          <t>Priority</t>
        </is>
      </c>
      <c r="B2" s="6" t="inlineStr">
        <is>
          <t>Open</t>
        </is>
      </c>
      <c r="C2" s="6" t="inlineStr">
        <is>
          <t>Proposal</t>
        </is>
      </c>
      <c r="D2" s="6" t="inlineStr">
        <is>
          <t>Needs testing</t>
        </is>
      </c>
      <c r="E2" s="6" t="inlineStr">
        <is>
          <t>Disabled</t>
        </is>
      </c>
      <c r="F2" s="6" t="inlineStr">
        <is>
          <t>Done</t>
        </is>
      </c>
      <c r="G2" s="6" t="inlineStr">
        <is>
          <t>Total</t>
        </is>
      </c>
      <c r="H2" s="6" t="inlineStr">
        <is>
          <t>Open %</t>
        </is>
      </c>
    </row>
    <row r="3">
      <c r="A3" s="7" t="inlineStr">
        <is>
          <t>P1</t>
        </is>
      </c>
      <c r="B3" s="7">
        <f>COUNTIFS(Backlog!$G$2:$G$378,$A3,Backlog!$H$2:$H$378,"Open")</f>
        <v/>
      </c>
      <c r="C3" s="7">
        <f>COUNTIFS(Backlog!$G$2:$G$378,$A3,Backlog!$H$2:$H$378,"Proposal")</f>
        <v/>
      </c>
      <c r="D3" s="7">
        <f>COUNTIFS(Backlog!$G$2:$G$378,$A3,Backlog!$H$2:$H$378,"Needs testing")</f>
        <v/>
      </c>
      <c r="E3" s="7">
        <f>COUNTIFS(Backlog!$G$2:$G$378,$A3,Backlog!$H$2:$H$378,"Disabled")</f>
        <v/>
      </c>
      <c r="F3" s="7">
        <f>COUNTIFS(Backlog!$G$2:$G$378,$A3,Backlog!$H$2:$H$378,"Done")</f>
        <v/>
      </c>
      <c r="G3" s="8">
        <f>SUM(B3:F3)</f>
        <v/>
      </c>
      <c r="H3" s="9">
        <f>IF(G3=0,0,(B3+C3+D3)/G3)</f>
        <v/>
      </c>
    </row>
    <row r="4">
      <c r="A4" s="7" t="inlineStr">
        <is>
          <t>P2</t>
        </is>
      </c>
      <c r="B4" s="7">
        <f>COUNTIFS(Backlog!$G$2:$G$378,$A4,Backlog!$H$2:$H$378,"Open")</f>
        <v/>
      </c>
      <c r="C4" s="7">
        <f>COUNTIFS(Backlog!$G$2:$G$378,$A4,Backlog!$H$2:$H$378,"Proposal")</f>
        <v/>
      </c>
      <c r="D4" s="7">
        <f>COUNTIFS(Backlog!$G$2:$G$378,$A4,Backlog!$H$2:$H$378,"Needs testing")</f>
        <v/>
      </c>
      <c r="E4" s="7">
        <f>COUNTIFS(Backlog!$G$2:$G$378,$A4,Backlog!$H$2:$H$378,"Disabled")</f>
        <v/>
      </c>
      <c r="F4" s="7">
        <f>COUNTIFS(Backlog!$G$2:$G$378,$A4,Backlog!$H$2:$H$378,"Done")</f>
        <v/>
      </c>
      <c r="G4" s="8">
        <f>SUM(B4:F4)</f>
        <v/>
      </c>
      <c r="H4" s="9">
        <f>IF(G4=0,0,(B4+C4+D4)/G4)</f>
        <v/>
      </c>
    </row>
    <row r="5">
      <c r="A5" s="7" t="inlineStr">
        <is>
          <t>P3</t>
        </is>
      </c>
      <c r="B5" s="7">
        <f>COUNTIFS(Backlog!$G$2:$G$378,$A5,Backlog!$H$2:$H$378,"Open")</f>
        <v/>
      </c>
      <c r="C5" s="7">
        <f>COUNTIFS(Backlog!$G$2:$G$378,$A5,Backlog!$H$2:$H$378,"Proposal")</f>
        <v/>
      </c>
      <c r="D5" s="7">
        <f>COUNTIFS(Backlog!$G$2:$G$378,$A5,Backlog!$H$2:$H$378,"Needs testing")</f>
        <v/>
      </c>
      <c r="E5" s="7">
        <f>COUNTIFS(Backlog!$G$2:$G$378,$A5,Backlog!$H$2:$H$378,"Disabled")</f>
        <v/>
      </c>
      <c r="F5" s="7">
        <f>COUNTIFS(Backlog!$G$2:$G$378,$A5,Backlog!$H$2:$H$378,"Done")</f>
        <v/>
      </c>
      <c r="G5" s="8">
        <f>SUM(B5:F5)</f>
        <v/>
      </c>
      <c r="H5" s="9">
        <f>IF(G5=0,0,(B5+C5+D5)/G5)</f>
        <v/>
      </c>
    </row>
    <row r="6">
      <c r="A6" s="7" t="inlineStr">
        <is>
          <t>P4</t>
        </is>
      </c>
      <c r="B6" s="7">
        <f>COUNTIFS(Backlog!$G$2:$G$378,$A6,Backlog!$H$2:$H$378,"Open")</f>
        <v/>
      </c>
      <c r="C6" s="7">
        <f>COUNTIFS(Backlog!$G$2:$G$378,$A6,Backlog!$H$2:$H$378,"Proposal")</f>
        <v/>
      </c>
      <c r="D6" s="7">
        <f>COUNTIFS(Backlog!$G$2:$G$378,$A6,Backlog!$H$2:$H$378,"Needs testing")</f>
        <v/>
      </c>
      <c r="E6" s="7">
        <f>COUNTIFS(Backlog!$G$2:$G$378,$A6,Backlog!$H$2:$H$378,"Disabled")</f>
        <v/>
      </c>
      <c r="F6" s="7">
        <f>COUNTIFS(Backlog!$G$2:$G$378,$A6,Backlog!$H$2:$H$378,"Done")</f>
        <v/>
      </c>
      <c r="G6" s="8">
        <f>SUM(B6:F6)</f>
        <v/>
      </c>
      <c r="H6" s="9">
        <f>IF(G6=0,0,(B6+C6+D6)/G6)</f>
        <v/>
      </c>
    </row>
    <row r="7">
      <c r="A7" s="8" t="inlineStr">
        <is>
          <t>Total</t>
        </is>
      </c>
      <c r="B7" s="8">
        <f>SUM(B3:B6)</f>
        <v/>
      </c>
      <c r="C7" s="8">
        <f>SUM(C3:C6)</f>
        <v/>
      </c>
      <c r="D7" s="8">
        <f>SUM(D3:D6)</f>
        <v/>
      </c>
      <c r="E7" s="8">
        <f>SUM(E3:E6)</f>
        <v/>
      </c>
      <c r="F7" s="8">
        <f>SUM(F3:F6)</f>
        <v/>
      </c>
      <c r="G7" s="8">
        <f>SUM(G3:G6)</f>
        <v/>
      </c>
      <c r="H7" s="10">
        <f>IF(G7=0,0,(B7+C7+D7)/G7)</f>
        <v/>
      </c>
    </row>
    <row r="9">
      <c r="A9" s="5" t="inlineStr">
        <is>
          <t>By type</t>
        </is>
      </c>
    </row>
    <row r="10">
      <c r="A10" s="6" t="inlineStr">
        <is>
          <t>Type</t>
        </is>
      </c>
      <c r="B10" s="6" t="inlineStr">
        <is>
          <t>Open</t>
        </is>
      </c>
      <c r="C10" s="6" t="inlineStr">
        <is>
          <t>Proposal</t>
        </is>
      </c>
      <c r="D10" s="6" t="inlineStr">
        <is>
          <t>Needs testing</t>
        </is>
      </c>
      <c r="E10" s="6" t="inlineStr">
        <is>
          <t>Disabled</t>
        </is>
      </c>
      <c r="F10" s="6" t="inlineStr">
        <is>
          <t>Done</t>
        </is>
      </c>
      <c r="G10" s="6" t="inlineStr">
        <is>
          <t>Total</t>
        </is>
      </c>
      <c r="H10" s="6" t="inlineStr">
        <is>
          <t>Open %</t>
        </is>
      </c>
    </row>
    <row r="11">
      <c r="A11" s="7" t="inlineStr">
        <is>
          <t>Bug</t>
        </is>
      </c>
      <c r="B11" s="7">
        <f>COUNTIFS(Backlog!$F$2:$F$378,$A11,Backlog!$H$2:$H$378,"Open")</f>
        <v/>
      </c>
      <c r="C11" s="7">
        <f>COUNTIFS(Backlog!$F$2:$F$378,$A11,Backlog!$H$2:$H$378,"Proposal")</f>
        <v/>
      </c>
      <c r="D11" s="7">
        <f>COUNTIFS(Backlog!$F$2:$F$378,$A11,Backlog!$H$2:$H$378,"Needs testing")</f>
        <v/>
      </c>
      <c r="E11" s="7">
        <f>COUNTIFS(Backlog!$F$2:$F$378,$A11,Backlog!$H$2:$H$378,"Disabled")</f>
        <v/>
      </c>
      <c r="F11" s="7">
        <f>COUNTIFS(Backlog!$F$2:$F$378,$A11,Backlog!$H$2:$H$378,"Done")</f>
        <v/>
      </c>
      <c r="G11" s="8">
        <f>SUM(B11:F11)</f>
        <v/>
      </c>
      <c r="H11" s="9">
        <f>IF(G11=0,0,(B11+C11+D11)/G11)</f>
        <v/>
      </c>
    </row>
    <row r="12">
      <c r="A12" s="7" t="inlineStr">
        <is>
          <t>Feature</t>
        </is>
      </c>
      <c r="B12" s="7">
        <f>COUNTIFS(Backlog!$F$2:$F$378,$A12,Backlog!$H$2:$H$378,"Open")</f>
        <v/>
      </c>
      <c r="C12" s="7">
        <f>COUNTIFS(Backlog!$F$2:$F$378,$A12,Backlog!$H$2:$H$378,"Proposal")</f>
        <v/>
      </c>
      <c r="D12" s="7">
        <f>COUNTIFS(Backlog!$F$2:$F$378,$A12,Backlog!$H$2:$H$378,"Needs testing")</f>
        <v/>
      </c>
      <c r="E12" s="7">
        <f>COUNTIFS(Backlog!$F$2:$F$378,$A12,Backlog!$H$2:$H$378,"Disabled")</f>
        <v/>
      </c>
      <c r="F12" s="7">
        <f>COUNTIFS(Backlog!$F$2:$F$378,$A12,Backlog!$H$2:$H$378,"Done")</f>
        <v/>
      </c>
      <c r="G12" s="8">
        <f>SUM(B12:F12)</f>
        <v/>
      </c>
      <c r="H12" s="9">
        <f>IF(G12=0,0,(B12+C12+D12)/G12)</f>
        <v/>
      </c>
    </row>
    <row r="13">
      <c r="A13" s="7" t="inlineStr">
        <is>
          <t>Balance</t>
        </is>
      </c>
      <c r="B13" s="7">
        <f>COUNTIFS(Backlog!$F$2:$F$378,$A13,Backlog!$H$2:$H$378,"Open")</f>
        <v/>
      </c>
      <c r="C13" s="7">
        <f>COUNTIFS(Backlog!$F$2:$F$378,$A13,Backlog!$H$2:$H$378,"Proposal")</f>
        <v/>
      </c>
      <c r="D13" s="7">
        <f>COUNTIFS(Backlog!$F$2:$F$378,$A13,Backlog!$H$2:$H$378,"Needs testing")</f>
        <v/>
      </c>
      <c r="E13" s="7">
        <f>COUNTIFS(Backlog!$F$2:$F$378,$A13,Backlog!$H$2:$H$378,"Disabled")</f>
        <v/>
      </c>
      <c r="F13" s="7">
        <f>COUNTIFS(Backlog!$F$2:$F$378,$A13,Backlog!$H$2:$H$378,"Done")</f>
        <v/>
      </c>
      <c r="G13" s="8">
        <f>SUM(B13:F13)</f>
        <v/>
      </c>
      <c r="H13" s="9">
        <f>IF(G13=0,0,(B13+C13+D13)/G13)</f>
        <v/>
      </c>
    </row>
    <row r="14">
      <c r="A14" s="7" t="inlineStr">
        <is>
          <t>UX</t>
        </is>
      </c>
      <c r="B14" s="7">
        <f>COUNTIFS(Backlog!$F$2:$F$378,$A14,Backlog!$H$2:$H$378,"Open")</f>
        <v/>
      </c>
      <c r="C14" s="7">
        <f>COUNTIFS(Backlog!$F$2:$F$378,$A14,Backlog!$H$2:$H$378,"Proposal")</f>
        <v/>
      </c>
      <c r="D14" s="7">
        <f>COUNTIFS(Backlog!$F$2:$F$378,$A14,Backlog!$H$2:$H$378,"Needs testing")</f>
        <v/>
      </c>
      <c r="E14" s="7">
        <f>COUNTIFS(Backlog!$F$2:$F$378,$A14,Backlog!$H$2:$H$378,"Disabled")</f>
        <v/>
      </c>
      <c r="F14" s="7">
        <f>COUNTIFS(Backlog!$F$2:$F$378,$A14,Backlog!$H$2:$H$378,"Done")</f>
        <v/>
      </c>
      <c r="G14" s="8">
        <f>SUM(B14:F14)</f>
        <v/>
      </c>
      <c r="H14" s="9">
        <f>IF(G14=0,0,(B14+C14+D14)/G14)</f>
        <v/>
      </c>
    </row>
    <row r="15">
      <c r="A15" s="7" t="inlineStr">
        <is>
          <t>Text</t>
        </is>
      </c>
      <c r="B15" s="7">
        <f>COUNTIFS(Backlog!$F$2:$F$378,$A15,Backlog!$H$2:$H$378,"Open")</f>
        <v/>
      </c>
      <c r="C15" s="7">
        <f>COUNTIFS(Backlog!$F$2:$F$378,$A15,Backlog!$H$2:$H$378,"Proposal")</f>
        <v/>
      </c>
      <c r="D15" s="7">
        <f>COUNTIFS(Backlog!$F$2:$F$378,$A15,Backlog!$H$2:$H$378,"Needs testing")</f>
        <v/>
      </c>
      <c r="E15" s="7">
        <f>COUNTIFS(Backlog!$F$2:$F$378,$A15,Backlog!$H$2:$H$378,"Disabled")</f>
        <v/>
      </c>
      <c r="F15" s="7">
        <f>COUNTIFS(Backlog!$F$2:$F$378,$A15,Backlog!$H$2:$H$378,"Done")</f>
        <v/>
      </c>
      <c r="G15" s="8">
        <f>SUM(B15:F15)</f>
        <v/>
      </c>
      <c r="H15" s="9">
        <f>IF(G15=0,0,(B15+C15+D15)/G15)</f>
        <v/>
      </c>
    </row>
    <row r="16">
      <c r="A16" s="7" t="inlineStr">
        <is>
          <t>Investigation</t>
        </is>
      </c>
      <c r="B16" s="7">
        <f>COUNTIFS(Backlog!$F$2:$F$378,$A16,Backlog!$H$2:$H$378,"Open")</f>
        <v/>
      </c>
      <c r="C16" s="7">
        <f>COUNTIFS(Backlog!$F$2:$F$378,$A16,Backlog!$H$2:$H$378,"Proposal")</f>
        <v/>
      </c>
      <c r="D16" s="7">
        <f>COUNTIFS(Backlog!$F$2:$F$378,$A16,Backlog!$H$2:$H$378,"Needs testing")</f>
        <v/>
      </c>
      <c r="E16" s="7">
        <f>COUNTIFS(Backlog!$F$2:$F$378,$A16,Backlog!$H$2:$H$378,"Disabled")</f>
        <v/>
      </c>
      <c r="F16" s="7">
        <f>COUNTIFS(Backlog!$F$2:$F$378,$A16,Backlog!$H$2:$H$378,"Done")</f>
        <v/>
      </c>
      <c r="G16" s="8">
        <f>SUM(B16:F16)</f>
        <v/>
      </c>
      <c r="H16" s="9">
        <f>IF(G16=0,0,(B16+C16+D16)/G16)</f>
        <v/>
      </c>
    </row>
    <row r="17">
      <c r="A17" s="7" t="inlineStr">
        <is>
          <t>QA</t>
        </is>
      </c>
      <c r="B17" s="7">
        <f>COUNTIFS(Backlog!$F$2:$F$378,$A17,Backlog!$H$2:$H$378,"Open")</f>
        <v/>
      </c>
      <c r="C17" s="7">
        <f>COUNTIFS(Backlog!$F$2:$F$378,$A17,Backlog!$H$2:$H$378,"Proposal")</f>
        <v/>
      </c>
      <c r="D17" s="7">
        <f>COUNTIFS(Backlog!$F$2:$F$378,$A17,Backlog!$H$2:$H$378,"Needs testing")</f>
        <v/>
      </c>
      <c r="E17" s="7">
        <f>COUNTIFS(Backlog!$F$2:$F$378,$A17,Backlog!$H$2:$H$378,"Disabled")</f>
        <v/>
      </c>
      <c r="F17" s="7">
        <f>COUNTIFS(Backlog!$F$2:$F$378,$A17,Backlog!$H$2:$H$378,"Done")</f>
        <v/>
      </c>
      <c r="G17" s="8">
        <f>SUM(B17:F17)</f>
        <v/>
      </c>
      <c r="H17" s="9">
        <f>IF(G17=0,0,(B17+C17+D17)/G17)</f>
        <v/>
      </c>
    </row>
    <row r="18">
      <c r="A18" s="7" t="inlineStr">
        <is>
          <t>Refactor</t>
        </is>
      </c>
      <c r="B18" s="7">
        <f>COUNTIFS(Backlog!$F$2:$F$378,$A18,Backlog!$H$2:$H$378,"Open")</f>
        <v/>
      </c>
      <c r="C18" s="7">
        <f>COUNTIFS(Backlog!$F$2:$F$378,$A18,Backlog!$H$2:$H$378,"Proposal")</f>
        <v/>
      </c>
      <c r="D18" s="7">
        <f>COUNTIFS(Backlog!$F$2:$F$378,$A18,Backlog!$H$2:$H$378,"Needs testing")</f>
        <v/>
      </c>
      <c r="E18" s="7">
        <f>COUNTIFS(Backlog!$F$2:$F$378,$A18,Backlog!$H$2:$H$378,"Disabled")</f>
        <v/>
      </c>
      <c r="F18" s="7">
        <f>COUNTIFS(Backlog!$F$2:$F$378,$A18,Backlog!$H$2:$H$378,"Done")</f>
        <v/>
      </c>
      <c r="G18" s="8">
        <f>SUM(B18:F18)</f>
        <v/>
      </c>
      <c r="H18" s="9">
        <f>IF(G18=0,0,(B18+C18+D18)/G18)</f>
        <v/>
      </c>
    </row>
    <row r="19">
      <c r="A19" s="7" t="inlineStr">
        <is>
          <t>Content</t>
        </is>
      </c>
      <c r="B19" s="7">
        <f>COUNTIFS(Backlog!$F$2:$F$378,$A19,Backlog!$H$2:$H$378,"Open")</f>
        <v/>
      </c>
      <c r="C19" s="7">
        <f>COUNTIFS(Backlog!$F$2:$F$378,$A19,Backlog!$H$2:$H$378,"Proposal")</f>
        <v/>
      </c>
      <c r="D19" s="7">
        <f>COUNTIFS(Backlog!$F$2:$F$378,$A19,Backlog!$H$2:$H$378,"Needs testing")</f>
        <v/>
      </c>
      <c r="E19" s="7">
        <f>COUNTIFS(Backlog!$F$2:$F$378,$A19,Backlog!$H$2:$H$378,"Disabled")</f>
        <v/>
      </c>
      <c r="F19" s="7">
        <f>COUNTIFS(Backlog!$F$2:$F$378,$A19,Backlog!$H$2:$H$378,"Done")</f>
        <v/>
      </c>
      <c r="G19" s="8">
        <f>SUM(B19:F19)</f>
        <v/>
      </c>
      <c r="H19" s="9">
        <f>IF(G19=0,0,(B19+C19+D19)/G19)</f>
        <v/>
      </c>
    </row>
    <row r="20">
      <c r="A20" s="7" t="inlineStr">
        <is>
          <t>Art/Content</t>
        </is>
      </c>
      <c r="B20" s="7">
        <f>COUNTIFS(Backlog!$F$2:$F$378,$A20,Backlog!$H$2:$H$378,"Open")</f>
        <v/>
      </c>
      <c r="C20" s="7">
        <f>COUNTIFS(Backlog!$F$2:$F$378,$A20,Backlog!$H$2:$H$378,"Proposal")</f>
        <v/>
      </c>
      <c r="D20" s="7">
        <f>COUNTIFS(Backlog!$F$2:$F$378,$A20,Backlog!$H$2:$H$378,"Needs testing")</f>
        <v/>
      </c>
      <c r="E20" s="7">
        <f>COUNTIFS(Backlog!$F$2:$F$378,$A20,Backlog!$H$2:$H$378,"Disabled")</f>
        <v/>
      </c>
      <c r="F20" s="7">
        <f>COUNTIFS(Backlog!$F$2:$F$378,$A20,Backlog!$H$2:$H$378,"Done")</f>
        <v/>
      </c>
      <c r="G20" s="8">
        <f>SUM(B20:F20)</f>
        <v/>
      </c>
      <c r="H20" s="9">
        <f>IF(G20=0,0,(B20+C20+D20)/G20)</f>
        <v/>
      </c>
    </row>
    <row r="21">
      <c r="A21" s="7" t="inlineStr">
        <is>
          <t>Tooling/Docs</t>
        </is>
      </c>
      <c r="B21" s="7">
        <f>COUNTIFS(Backlog!$F$2:$F$378,$A21,Backlog!$H$2:$H$378,"Open")</f>
        <v/>
      </c>
      <c r="C21" s="7">
        <f>COUNTIFS(Backlog!$F$2:$F$378,$A21,Backlog!$H$2:$H$378,"Proposal")</f>
        <v/>
      </c>
      <c r="D21" s="7">
        <f>COUNTIFS(Backlog!$F$2:$F$378,$A21,Backlog!$H$2:$H$378,"Needs testing")</f>
        <v/>
      </c>
      <c r="E21" s="7">
        <f>COUNTIFS(Backlog!$F$2:$F$378,$A21,Backlog!$H$2:$H$378,"Disabled")</f>
        <v/>
      </c>
      <c r="F21" s="7">
        <f>COUNTIFS(Backlog!$F$2:$F$378,$A21,Backlog!$H$2:$H$378,"Done")</f>
        <v/>
      </c>
      <c r="G21" s="8">
        <f>SUM(B21:F21)</f>
        <v/>
      </c>
      <c r="H21" s="9">
        <f>IF(G21=0,0,(B21+C21+D21)/G21)</f>
        <v/>
      </c>
    </row>
    <row r="22">
      <c r="A22" s="8" t="inlineStr">
        <is>
          <t>Total</t>
        </is>
      </c>
      <c r="B22" s="8">
        <f>SUM(B11:B21)</f>
        <v/>
      </c>
      <c r="C22" s="8">
        <f>SUM(C11:C21)</f>
        <v/>
      </c>
      <c r="D22" s="8">
        <f>SUM(D11:D21)</f>
        <v/>
      </c>
      <c r="E22" s="8">
        <f>SUM(E11:E21)</f>
        <v/>
      </c>
      <c r="F22" s="8">
        <f>SUM(F11:F21)</f>
        <v/>
      </c>
      <c r="G22" s="8">
        <f>SUM(G11:G21)</f>
        <v/>
      </c>
      <c r="H22" s="10">
        <f>IF(G22=0,0,(B22+C22+D22)/G22)</f>
        <v/>
      </c>
    </row>
    <row r="24">
      <c r="A24" s="5" t="inlineStr">
        <is>
          <t>By mod</t>
        </is>
      </c>
    </row>
    <row r="25">
      <c r="A25" s="6" t="inlineStr">
        <is>
          <t>Mod</t>
        </is>
      </c>
      <c r="B25" s="6" t="inlineStr">
        <is>
          <t>Open</t>
        </is>
      </c>
      <c r="C25" s="6" t="inlineStr">
        <is>
          <t>Proposal</t>
        </is>
      </c>
      <c r="D25" s="6" t="inlineStr">
        <is>
          <t>Needs testing</t>
        </is>
      </c>
      <c r="E25" s="6" t="inlineStr">
        <is>
          <t>Disabled</t>
        </is>
      </c>
      <c r="F25" s="6" t="inlineStr">
        <is>
          <t>Done</t>
        </is>
      </c>
      <c r="G25" s="6" t="inlineStr">
        <is>
          <t>Total</t>
        </is>
      </c>
      <c r="H25" s="6" t="inlineStr">
        <is>
          <t>Open %</t>
        </is>
      </c>
    </row>
    <row r="26">
      <c r="A26" s="7" t="inlineStr">
        <is>
          <t>GBO3</t>
        </is>
      </c>
      <c r="B26" s="7">
        <f>COUNTIFS(Backlog!$D$2:$D$378,$A26,Backlog!$H$2:$H$378,"Open")</f>
        <v/>
      </c>
      <c r="C26" s="7">
        <f>COUNTIFS(Backlog!$D$2:$D$378,$A26,Backlog!$H$2:$H$378,"Proposal")</f>
        <v/>
      </c>
      <c r="D26" s="7">
        <f>COUNTIFS(Backlog!$D$2:$D$378,$A26,Backlog!$H$2:$H$378,"Needs testing")</f>
        <v/>
      </c>
      <c r="E26" s="7">
        <f>COUNTIFS(Backlog!$D$2:$D$378,$A26,Backlog!$H$2:$H$378,"Disabled")</f>
        <v/>
      </c>
      <c r="F26" s="7">
        <f>COUNTIFS(Backlog!$D$2:$D$378,$A26,Backlog!$H$2:$H$378,"Done")</f>
        <v/>
      </c>
      <c r="G26" s="8">
        <f>SUM(B26:F26)</f>
        <v/>
      </c>
      <c r="H26" s="9">
        <f>IF(G26=0,0,(B26+C26+D26)/G26)</f>
        <v/>
      </c>
    </row>
    <row r="27">
      <c r="A27" s="7" t="inlineStr">
        <is>
          <t>AI Overhaul</t>
        </is>
      </c>
      <c r="B27" s="7">
        <f>COUNTIFS(Backlog!$D$2:$D$378,$A27,Backlog!$H$2:$H$378,"Open")</f>
        <v/>
      </c>
      <c r="C27" s="7">
        <f>COUNTIFS(Backlog!$D$2:$D$378,$A27,Backlog!$H$2:$H$378,"Proposal")</f>
        <v/>
      </c>
      <c r="D27" s="7">
        <f>COUNTIFS(Backlog!$D$2:$D$378,$A27,Backlog!$H$2:$H$378,"Needs testing")</f>
        <v/>
      </c>
      <c r="E27" s="7">
        <f>COUNTIFS(Backlog!$D$2:$D$378,$A27,Backlog!$H$2:$H$378,"Disabled")</f>
        <v/>
      </c>
      <c r="F27" s="7">
        <f>COUNTIFS(Backlog!$D$2:$D$378,$A27,Backlog!$H$2:$H$378,"Done")</f>
        <v/>
      </c>
      <c r="G27" s="8">
        <f>SUM(B27:F27)</f>
        <v/>
      </c>
      <c r="H27" s="9">
        <f>IF(G27=0,0,(B27+C27+D27)/G27)</f>
        <v/>
      </c>
    </row>
    <row r="28">
      <c r="A28" s="7" t="inlineStr">
        <is>
          <t>Explosive Overhaul</t>
        </is>
      </c>
      <c r="B28" s="7">
        <f>COUNTIFS(Backlog!$D$2:$D$378,$A28,Backlog!$H$2:$H$378,"Open")</f>
        <v/>
      </c>
      <c r="C28" s="7">
        <f>COUNTIFS(Backlog!$D$2:$D$378,$A28,Backlog!$H$2:$H$378,"Proposal")</f>
        <v/>
      </c>
      <c r="D28" s="7">
        <f>COUNTIFS(Backlog!$D$2:$D$378,$A28,Backlog!$H$2:$H$378,"Needs testing")</f>
        <v/>
      </c>
      <c r="E28" s="7">
        <f>COUNTIFS(Backlog!$D$2:$D$378,$A28,Backlog!$H$2:$H$378,"Disabled")</f>
        <v/>
      </c>
      <c r="F28" s="7">
        <f>COUNTIFS(Backlog!$D$2:$D$378,$A28,Backlog!$H$2:$H$378,"Done")</f>
        <v/>
      </c>
      <c r="G28" s="8">
        <f>SUM(B28:F28)</f>
        <v/>
      </c>
      <c r="H28" s="9">
        <f>IF(G28=0,0,(B28+C28+D28)/G28)</f>
        <v/>
      </c>
    </row>
    <row r="29">
      <c r="A29" s="7" t="inlineStr">
        <is>
          <t>ToG Patch</t>
        </is>
      </c>
      <c r="B29" s="7">
        <f>COUNTIFS(Backlog!$D$2:$D$378,$A29,Backlog!$H$2:$H$378,"Open")</f>
        <v/>
      </c>
      <c r="C29" s="7">
        <f>COUNTIFS(Backlog!$D$2:$D$378,$A29,Backlog!$H$2:$H$378,"Proposal")</f>
        <v/>
      </c>
      <c r="D29" s="7">
        <f>COUNTIFS(Backlog!$D$2:$D$378,$A29,Backlog!$H$2:$H$378,"Needs testing")</f>
        <v/>
      </c>
      <c r="E29" s="7">
        <f>COUNTIFS(Backlog!$D$2:$D$378,$A29,Backlog!$H$2:$H$378,"Disabled")</f>
        <v/>
      </c>
      <c r="F29" s="7">
        <f>COUNTIFS(Backlog!$D$2:$D$378,$A29,Backlog!$H$2:$H$378,"Done")</f>
        <v/>
      </c>
      <c r="G29" s="8">
        <f>SUM(B29:F29)</f>
        <v/>
      </c>
      <c r="H29" s="9">
        <f>IF(G29=0,0,(B29+C29+D29)/G29)</f>
        <v/>
      </c>
    </row>
    <row r="30">
      <c r="A30" s="8" t="inlineStr">
        <is>
          <t>Total</t>
        </is>
      </c>
      <c r="B30" s="8">
        <f>SUM(B26:B29)</f>
        <v/>
      </c>
      <c r="C30" s="8">
        <f>SUM(C26:C29)</f>
        <v/>
      </c>
      <c r="D30" s="8">
        <f>SUM(D26:D29)</f>
        <v/>
      </c>
      <c r="E30" s="8">
        <f>SUM(E26:E29)</f>
        <v/>
      </c>
      <c r="F30" s="8">
        <f>SUM(F26:F29)</f>
        <v/>
      </c>
      <c r="G30" s="8">
        <f>SUM(G26:G29)</f>
        <v/>
      </c>
      <c r="H30" s="10">
        <f>IF(G30=0,0,(B30+C30+D30)/G30)</f>
        <v/>
      </c>
    </row>
    <row r="32">
      <c r="A32" s="5" t="inlineStr">
        <is>
          <t>By system</t>
        </is>
      </c>
    </row>
    <row r="33">
      <c r="A33" s="6" t="inlineStr">
        <is>
          <t>System</t>
        </is>
      </c>
      <c r="B33" s="6" t="inlineStr">
        <is>
          <t>Open</t>
        </is>
      </c>
      <c r="C33" s="6" t="inlineStr">
        <is>
          <t>Proposal</t>
        </is>
      </c>
      <c r="D33" s="6" t="inlineStr">
        <is>
          <t>Needs testing</t>
        </is>
      </c>
      <c r="E33" s="6" t="inlineStr">
        <is>
          <t>Disabled</t>
        </is>
      </c>
      <c r="F33" s="6" t="inlineStr">
        <is>
          <t>Done</t>
        </is>
      </c>
      <c r="G33" s="6" t="inlineStr">
        <is>
          <t>Total</t>
        </is>
      </c>
      <c r="H33" s="6" t="inlineStr">
        <is>
          <t>Open %</t>
        </is>
      </c>
    </row>
    <row r="34">
      <c r="A34" s="7" t="inlineStr">
        <is>
          <t>AI Behavior</t>
        </is>
      </c>
      <c r="B34" s="7">
        <f>COUNTIFS(Backlog!$E$2:$E$378,$A34,Backlog!$H$2:$H$378,"Open")</f>
        <v/>
      </c>
      <c r="C34" s="7">
        <f>COUNTIFS(Backlog!$E$2:$E$378,$A34,Backlog!$H$2:$H$378,"Proposal")</f>
        <v/>
      </c>
      <c r="D34" s="7">
        <f>COUNTIFS(Backlog!$E$2:$E$378,$A34,Backlog!$H$2:$H$378,"Needs testing")</f>
        <v/>
      </c>
      <c r="E34" s="7">
        <f>COUNTIFS(Backlog!$E$2:$E$378,$A34,Backlog!$H$2:$H$378,"Disabled")</f>
        <v/>
      </c>
      <c r="F34" s="7">
        <f>COUNTIFS(Backlog!$E$2:$E$378,$A34,Backlog!$H$2:$H$378,"Done")</f>
        <v/>
      </c>
      <c r="G34" s="8">
        <f>SUM(B34:F34)</f>
        <v/>
      </c>
      <c r="H34" s="9">
        <f>IF(G34=0,0,(B34+C34+D34)/G34)</f>
        <v/>
      </c>
    </row>
    <row r="35">
      <c r="A35" s="7" t="inlineStr">
        <is>
          <t>AP Economy</t>
        </is>
      </c>
      <c r="B35" s="7">
        <f>COUNTIFS(Backlog!$E$2:$E$378,$A35,Backlog!$H$2:$H$378,"Open")</f>
        <v/>
      </c>
      <c r="C35" s="7">
        <f>COUNTIFS(Backlog!$E$2:$E$378,$A35,Backlog!$H$2:$H$378,"Proposal")</f>
        <v/>
      </c>
      <c r="D35" s="7">
        <f>COUNTIFS(Backlog!$E$2:$E$378,$A35,Backlog!$H$2:$H$378,"Needs testing")</f>
        <v/>
      </c>
      <c r="E35" s="7">
        <f>COUNTIFS(Backlog!$E$2:$E$378,$A35,Backlog!$H$2:$H$378,"Disabled")</f>
        <v/>
      </c>
      <c r="F35" s="7">
        <f>COUNTIFS(Backlog!$E$2:$E$378,$A35,Backlog!$H$2:$H$378,"Done")</f>
        <v/>
      </c>
      <c r="G35" s="8">
        <f>SUM(B35:F35)</f>
        <v/>
      </c>
      <c r="H35" s="9">
        <f>IF(G35=0,0,(B35+C35+D35)/G35)</f>
        <v/>
      </c>
    </row>
    <row r="36">
      <c r="A36" s="7" t="inlineStr">
        <is>
          <t>Accuracy</t>
        </is>
      </c>
      <c r="B36" s="7">
        <f>COUNTIFS(Backlog!$E$2:$E$378,$A36,Backlog!$H$2:$H$378,"Open")</f>
        <v/>
      </c>
      <c r="C36" s="7">
        <f>COUNTIFS(Backlog!$E$2:$E$378,$A36,Backlog!$H$2:$H$378,"Proposal")</f>
        <v/>
      </c>
      <c r="D36" s="7">
        <f>COUNTIFS(Backlog!$E$2:$E$378,$A36,Backlog!$H$2:$H$378,"Needs testing")</f>
        <v/>
      </c>
      <c r="E36" s="7">
        <f>COUNTIFS(Backlog!$E$2:$E$378,$A36,Backlog!$H$2:$H$378,"Disabled")</f>
        <v/>
      </c>
      <c r="F36" s="7">
        <f>COUNTIFS(Backlog!$E$2:$E$378,$A36,Backlog!$H$2:$H$378,"Done")</f>
        <v/>
      </c>
      <c r="G36" s="8">
        <f>SUM(B36:F36)</f>
        <v/>
      </c>
      <c r="H36" s="9">
        <f>IF(G36=0,0,(B36+C36+D36)/G36)</f>
        <v/>
      </c>
    </row>
    <row r="37">
      <c r="A37" s="7" t="inlineStr">
        <is>
          <t>Animation</t>
        </is>
      </c>
      <c r="B37" s="7">
        <f>COUNTIFS(Backlog!$E$2:$E$378,$A37,Backlog!$H$2:$H$378,"Open")</f>
        <v/>
      </c>
      <c r="C37" s="7">
        <f>COUNTIFS(Backlog!$E$2:$E$378,$A37,Backlog!$H$2:$H$378,"Proposal")</f>
        <v/>
      </c>
      <c r="D37" s="7">
        <f>COUNTIFS(Backlog!$E$2:$E$378,$A37,Backlog!$H$2:$H$378,"Needs testing")</f>
        <v/>
      </c>
      <c r="E37" s="7">
        <f>COUNTIFS(Backlog!$E$2:$E$378,$A37,Backlog!$H$2:$H$378,"Disabled")</f>
        <v/>
      </c>
      <c r="F37" s="7">
        <f>COUNTIFS(Backlog!$E$2:$E$378,$A37,Backlog!$H$2:$H$378,"Done")</f>
        <v/>
      </c>
      <c r="G37" s="8">
        <f>SUM(B37:F37)</f>
        <v/>
      </c>
      <c r="H37" s="9">
        <f>IF(G37=0,0,(B37+C37+D37)/G37)</f>
        <v/>
      </c>
    </row>
    <row r="38">
      <c r="A38" s="7" t="inlineStr">
        <is>
          <t>Compatibility</t>
        </is>
      </c>
      <c r="B38" s="7">
        <f>COUNTIFS(Backlog!$E$2:$E$378,$A38,Backlog!$H$2:$H$378,"Open")</f>
        <v/>
      </c>
      <c r="C38" s="7">
        <f>COUNTIFS(Backlog!$E$2:$E$378,$A38,Backlog!$H$2:$H$378,"Proposal")</f>
        <v/>
      </c>
      <c r="D38" s="7">
        <f>COUNTIFS(Backlog!$E$2:$E$378,$A38,Backlog!$H$2:$H$378,"Needs testing")</f>
        <v/>
      </c>
      <c r="E38" s="7">
        <f>COUNTIFS(Backlog!$E$2:$E$378,$A38,Backlog!$H$2:$H$378,"Disabled")</f>
        <v/>
      </c>
      <c r="F38" s="7">
        <f>COUNTIFS(Backlog!$E$2:$E$378,$A38,Backlog!$H$2:$H$378,"Done")</f>
        <v/>
      </c>
      <c r="G38" s="8">
        <f>SUM(B38:F38)</f>
        <v/>
      </c>
      <c r="H38" s="9">
        <f>IF(G38=0,0,(B38+C38+D38)/G38)</f>
        <v/>
      </c>
    </row>
    <row r="39">
      <c r="A39" s="7" t="inlineStr">
        <is>
          <t>Components</t>
        </is>
      </c>
      <c r="B39" s="7">
        <f>COUNTIFS(Backlog!$E$2:$E$378,$A39,Backlog!$H$2:$H$378,"Open")</f>
        <v/>
      </c>
      <c r="C39" s="7">
        <f>COUNTIFS(Backlog!$E$2:$E$378,$A39,Backlog!$H$2:$H$378,"Proposal")</f>
        <v/>
      </c>
      <c r="D39" s="7">
        <f>COUNTIFS(Backlog!$E$2:$E$378,$A39,Backlog!$H$2:$H$378,"Needs testing")</f>
        <v/>
      </c>
      <c r="E39" s="7">
        <f>COUNTIFS(Backlog!$E$2:$E$378,$A39,Backlog!$H$2:$H$378,"Disabled")</f>
        <v/>
      </c>
      <c r="F39" s="7">
        <f>COUNTIFS(Backlog!$E$2:$E$378,$A39,Backlog!$H$2:$H$378,"Done")</f>
        <v/>
      </c>
      <c r="G39" s="8">
        <f>SUM(B39:F39)</f>
        <v/>
      </c>
      <c r="H39" s="9">
        <f>IF(G39=0,0,(B39+C39+D39)/G39)</f>
        <v/>
      </c>
    </row>
    <row r="40">
      <c r="A40" s="7" t="inlineStr">
        <is>
          <t>Explosives</t>
        </is>
      </c>
      <c r="B40" s="7">
        <f>COUNTIFS(Backlog!$E$2:$E$378,$A40,Backlog!$H$2:$H$378,"Open")</f>
        <v/>
      </c>
      <c r="C40" s="7">
        <f>COUNTIFS(Backlog!$E$2:$E$378,$A40,Backlog!$H$2:$H$378,"Proposal")</f>
        <v/>
      </c>
      <c r="D40" s="7">
        <f>COUNTIFS(Backlog!$E$2:$E$378,$A40,Backlog!$H$2:$H$378,"Needs testing")</f>
        <v/>
      </c>
      <c r="E40" s="7">
        <f>COUNTIFS(Backlog!$E$2:$E$378,$A40,Backlog!$H$2:$H$378,"Disabled")</f>
        <v/>
      </c>
      <c r="F40" s="7">
        <f>COUNTIFS(Backlog!$E$2:$E$378,$A40,Backlog!$H$2:$H$378,"Done")</f>
        <v/>
      </c>
      <c r="G40" s="8">
        <f>SUM(B40:F40)</f>
        <v/>
      </c>
      <c r="H40" s="9">
        <f>IF(G40=0,0,(B40+C40+D40)/G40)</f>
        <v/>
      </c>
    </row>
    <row r="41">
      <c r="A41" s="7" t="inlineStr">
        <is>
          <t>Fire Modes</t>
        </is>
      </c>
      <c r="B41" s="7">
        <f>COUNTIFS(Backlog!$E$2:$E$378,$A41,Backlog!$H$2:$H$378,"Open")</f>
        <v/>
      </c>
      <c r="C41" s="7">
        <f>COUNTIFS(Backlog!$E$2:$E$378,$A41,Backlog!$H$2:$H$378,"Proposal")</f>
        <v/>
      </c>
      <c r="D41" s="7">
        <f>COUNTIFS(Backlog!$E$2:$E$378,$A41,Backlog!$H$2:$H$378,"Needs testing")</f>
        <v/>
      </c>
      <c r="E41" s="7">
        <f>COUNTIFS(Backlog!$E$2:$E$378,$A41,Backlog!$H$2:$H$378,"Disabled")</f>
        <v/>
      </c>
      <c r="F41" s="7">
        <f>COUNTIFS(Backlog!$E$2:$E$378,$A41,Backlog!$H$2:$H$378,"Done")</f>
        <v/>
      </c>
      <c r="G41" s="8">
        <f>SUM(B41:F41)</f>
        <v/>
      </c>
      <c r="H41" s="9">
        <f>IF(G41=0,0,(B41+C41+D41)/G41)</f>
        <v/>
      </c>
    </row>
    <row r="42">
      <c r="A42" s="7" t="inlineStr">
        <is>
          <t>Loot &amp; Economy</t>
        </is>
      </c>
      <c r="B42" s="7">
        <f>COUNTIFS(Backlog!$E$2:$E$378,$A42,Backlog!$H$2:$H$378,"Open")</f>
        <v/>
      </c>
      <c r="C42" s="7">
        <f>COUNTIFS(Backlog!$E$2:$E$378,$A42,Backlog!$H$2:$H$378,"Proposal")</f>
        <v/>
      </c>
      <c r="D42" s="7">
        <f>COUNTIFS(Backlog!$E$2:$E$378,$A42,Backlog!$H$2:$H$378,"Needs testing")</f>
        <v/>
      </c>
      <c r="E42" s="7">
        <f>COUNTIFS(Backlog!$E$2:$E$378,$A42,Backlog!$H$2:$H$378,"Disabled")</f>
        <v/>
      </c>
      <c r="F42" s="7">
        <f>COUNTIFS(Backlog!$E$2:$E$378,$A42,Backlog!$H$2:$H$378,"Done")</f>
        <v/>
      </c>
      <c r="G42" s="8">
        <f>SUM(B42:F42)</f>
        <v/>
      </c>
      <c r="H42" s="9">
        <f>IF(G42=0,0,(B42+C42+D42)/G42)</f>
        <v/>
      </c>
    </row>
    <row r="43">
      <c r="A43" s="7" t="inlineStr">
        <is>
          <t>Operations</t>
        </is>
      </c>
      <c r="B43" s="7">
        <f>COUNTIFS(Backlog!$E$2:$E$378,$A43,Backlog!$H$2:$H$378,"Open")</f>
        <v/>
      </c>
      <c r="C43" s="7">
        <f>COUNTIFS(Backlog!$E$2:$E$378,$A43,Backlog!$H$2:$H$378,"Proposal")</f>
        <v/>
      </c>
      <c r="D43" s="7">
        <f>COUNTIFS(Backlog!$E$2:$E$378,$A43,Backlog!$H$2:$H$378,"Needs testing")</f>
        <v/>
      </c>
      <c r="E43" s="7">
        <f>COUNTIFS(Backlog!$E$2:$E$378,$A43,Backlog!$H$2:$H$378,"Disabled")</f>
        <v/>
      </c>
      <c r="F43" s="7">
        <f>COUNTIFS(Backlog!$E$2:$E$378,$A43,Backlog!$H$2:$H$378,"Done")</f>
        <v/>
      </c>
      <c r="G43" s="8">
        <f>SUM(B43:F43)</f>
        <v/>
      </c>
      <c r="H43" s="9">
        <f>IF(G43=0,0,(B43+C43+D43)/G43)</f>
        <v/>
      </c>
    </row>
    <row r="44">
      <c r="A44" s="7" t="inlineStr">
        <is>
          <t>Overwatch</t>
        </is>
      </c>
      <c r="B44" s="7">
        <f>COUNTIFS(Backlog!$E$2:$E$378,$A44,Backlog!$H$2:$H$378,"Open")</f>
        <v/>
      </c>
      <c r="C44" s="7">
        <f>COUNTIFS(Backlog!$E$2:$E$378,$A44,Backlog!$H$2:$H$378,"Proposal")</f>
        <v/>
      </c>
      <c r="D44" s="7">
        <f>COUNTIFS(Backlog!$E$2:$E$378,$A44,Backlog!$H$2:$H$378,"Needs testing")</f>
        <v/>
      </c>
      <c r="E44" s="7">
        <f>COUNTIFS(Backlog!$E$2:$E$378,$A44,Backlog!$H$2:$H$378,"Disabled")</f>
        <v/>
      </c>
      <c r="F44" s="7">
        <f>COUNTIFS(Backlog!$E$2:$E$378,$A44,Backlog!$H$2:$H$378,"Done")</f>
        <v/>
      </c>
      <c r="G44" s="8">
        <f>SUM(B44:F44)</f>
        <v/>
      </c>
      <c r="H44" s="9">
        <f>IF(G44=0,0,(B44+C44+D44)/G44)</f>
        <v/>
      </c>
    </row>
    <row r="45">
      <c r="A45" s="7" t="inlineStr">
        <is>
          <t>Perks &amp; Traits</t>
        </is>
      </c>
      <c r="B45" s="7">
        <f>COUNTIFS(Backlog!$E$2:$E$378,$A45,Backlog!$H$2:$H$378,"Open")</f>
        <v/>
      </c>
      <c r="C45" s="7">
        <f>COUNTIFS(Backlog!$E$2:$E$378,$A45,Backlog!$H$2:$H$378,"Proposal")</f>
        <v/>
      </c>
      <c r="D45" s="7">
        <f>COUNTIFS(Backlog!$E$2:$E$378,$A45,Backlog!$H$2:$H$378,"Needs testing")</f>
        <v/>
      </c>
      <c r="E45" s="7">
        <f>COUNTIFS(Backlog!$E$2:$E$378,$A45,Backlog!$H$2:$H$378,"Disabled")</f>
        <v/>
      </c>
      <c r="F45" s="7">
        <f>COUNTIFS(Backlog!$E$2:$E$378,$A45,Backlog!$H$2:$H$378,"Done")</f>
        <v/>
      </c>
      <c r="G45" s="8">
        <f>SUM(B45:F45)</f>
        <v/>
      </c>
      <c r="H45" s="9">
        <f>IF(G45=0,0,(B45+C45+D45)/G45)</f>
        <v/>
      </c>
    </row>
    <row r="46">
      <c r="A46" s="7" t="inlineStr">
        <is>
          <t>Recoil</t>
        </is>
      </c>
      <c r="B46" s="7">
        <f>COUNTIFS(Backlog!$E$2:$E$378,$A46,Backlog!$H$2:$H$378,"Open")</f>
        <v/>
      </c>
      <c r="C46" s="7">
        <f>COUNTIFS(Backlog!$E$2:$E$378,$A46,Backlog!$H$2:$H$378,"Proposal")</f>
        <v/>
      </c>
      <c r="D46" s="7">
        <f>COUNTIFS(Backlog!$E$2:$E$378,$A46,Backlog!$H$2:$H$378,"Needs testing")</f>
        <v/>
      </c>
      <c r="E46" s="7">
        <f>COUNTIFS(Backlog!$E$2:$E$378,$A46,Backlog!$H$2:$H$378,"Disabled")</f>
        <v/>
      </c>
      <c r="F46" s="7">
        <f>COUNTIFS(Backlog!$E$2:$E$378,$A46,Backlog!$H$2:$H$378,"Done")</f>
        <v/>
      </c>
      <c r="G46" s="8">
        <f>SUM(B46:F46)</f>
        <v/>
      </c>
      <c r="H46" s="9">
        <f>IF(G46=0,0,(B46+C46+D46)/G46)</f>
        <v/>
      </c>
    </row>
    <row r="47">
      <c r="A47" s="7" t="inlineStr">
        <is>
          <t>Shotguns</t>
        </is>
      </c>
      <c r="B47" s="7">
        <f>COUNTIFS(Backlog!$E$2:$E$378,$A47,Backlog!$H$2:$H$378,"Open")</f>
        <v/>
      </c>
      <c r="C47" s="7">
        <f>COUNTIFS(Backlog!$E$2:$E$378,$A47,Backlog!$H$2:$H$378,"Proposal")</f>
        <v/>
      </c>
      <c r="D47" s="7">
        <f>COUNTIFS(Backlog!$E$2:$E$378,$A47,Backlog!$H$2:$H$378,"Needs testing")</f>
        <v/>
      </c>
      <c r="E47" s="7">
        <f>COUNTIFS(Backlog!$E$2:$E$378,$A47,Backlog!$H$2:$H$378,"Disabled")</f>
        <v/>
      </c>
      <c r="F47" s="7">
        <f>COUNTIFS(Backlog!$E$2:$E$378,$A47,Backlog!$H$2:$H$378,"Done")</f>
        <v/>
      </c>
      <c r="G47" s="8">
        <f>SUM(B47:F47)</f>
        <v/>
      </c>
      <c r="H47" s="9">
        <f>IF(G47=0,0,(B47+C47+D47)/G47)</f>
        <v/>
      </c>
    </row>
    <row r="48">
      <c r="A48" s="7" t="inlineStr">
        <is>
          <t>UI &amp; Descriptions</t>
        </is>
      </c>
      <c r="B48" s="7">
        <f>COUNTIFS(Backlog!$E$2:$E$378,$A48,Backlog!$H$2:$H$378,"Open")</f>
        <v/>
      </c>
      <c r="C48" s="7">
        <f>COUNTIFS(Backlog!$E$2:$E$378,$A48,Backlog!$H$2:$H$378,"Proposal")</f>
        <v/>
      </c>
      <c r="D48" s="7">
        <f>COUNTIFS(Backlog!$E$2:$E$378,$A48,Backlog!$H$2:$H$378,"Needs testing")</f>
        <v/>
      </c>
      <c r="E48" s="7">
        <f>COUNTIFS(Backlog!$E$2:$E$378,$A48,Backlog!$H$2:$H$378,"Disabled")</f>
        <v/>
      </c>
      <c r="F48" s="7">
        <f>COUNTIFS(Backlog!$E$2:$E$378,$A48,Backlog!$H$2:$H$378,"Done")</f>
        <v/>
      </c>
      <c r="G48" s="8">
        <f>SUM(B48:F48)</f>
        <v/>
      </c>
      <c r="H48" s="9">
        <f>IF(G48=0,0,(B48+C48+D48)/G48)</f>
        <v/>
      </c>
    </row>
    <row r="49">
      <c r="A49" s="7" t="inlineStr">
        <is>
          <t>Visibility</t>
        </is>
      </c>
      <c r="B49" s="7">
        <f>COUNTIFS(Backlog!$E$2:$E$378,$A49,Backlog!$H$2:$H$378,"Open")</f>
        <v/>
      </c>
      <c r="C49" s="7">
        <f>COUNTIFS(Backlog!$E$2:$E$378,$A49,Backlog!$H$2:$H$378,"Proposal")</f>
        <v/>
      </c>
      <c r="D49" s="7">
        <f>COUNTIFS(Backlog!$E$2:$E$378,$A49,Backlog!$H$2:$H$378,"Needs testing")</f>
        <v/>
      </c>
      <c r="E49" s="7">
        <f>COUNTIFS(Backlog!$E$2:$E$378,$A49,Backlog!$H$2:$H$378,"Disabled")</f>
        <v/>
      </c>
      <c r="F49" s="7">
        <f>COUNTIFS(Backlog!$E$2:$E$378,$A49,Backlog!$H$2:$H$378,"Done")</f>
        <v/>
      </c>
      <c r="G49" s="8">
        <f>SUM(B49:F49)</f>
        <v/>
      </c>
      <c r="H49" s="9">
        <f>IF(G49=0,0,(B49+C49+D49)/G49)</f>
        <v/>
      </c>
    </row>
    <row r="50">
      <c r="A50" s="7" t="inlineStr">
        <is>
          <t>Weapons</t>
        </is>
      </c>
      <c r="B50" s="7">
        <f>COUNTIFS(Backlog!$E$2:$E$378,$A50,Backlog!$H$2:$H$378,"Open")</f>
        <v/>
      </c>
      <c r="C50" s="7">
        <f>COUNTIFS(Backlog!$E$2:$E$378,$A50,Backlog!$H$2:$H$378,"Proposal")</f>
        <v/>
      </c>
      <c r="D50" s="7">
        <f>COUNTIFS(Backlog!$E$2:$E$378,$A50,Backlog!$H$2:$H$378,"Needs testing")</f>
        <v/>
      </c>
      <c r="E50" s="7">
        <f>COUNTIFS(Backlog!$E$2:$E$378,$A50,Backlog!$H$2:$H$378,"Disabled")</f>
        <v/>
      </c>
      <c r="F50" s="7">
        <f>COUNTIFS(Backlog!$E$2:$E$378,$A50,Backlog!$H$2:$H$378,"Done")</f>
        <v/>
      </c>
      <c r="G50" s="8">
        <f>SUM(B50:F50)</f>
        <v/>
      </c>
      <c r="H50" s="9">
        <f>IF(G50=0,0,(B50+C50+D50)/G50)</f>
        <v/>
      </c>
    </row>
    <row r="51">
      <c r="A51" s="8" t="inlineStr">
        <is>
          <t>Total</t>
        </is>
      </c>
      <c r="B51" s="8">
        <f>SUM(B34:B50)</f>
        <v/>
      </c>
      <c r="C51" s="8">
        <f>SUM(C34:C50)</f>
        <v/>
      </c>
      <c r="D51" s="8">
        <f>SUM(D34:D50)</f>
        <v/>
      </c>
      <c r="E51" s="8">
        <f>SUM(E34:E50)</f>
        <v/>
      </c>
      <c r="F51" s="8">
        <f>SUM(F34:F50)</f>
        <v/>
      </c>
      <c r="G51" s="8">
        <f>SUM(G34:G50)</f>
        <v/>
      </c>
      <c r="H51" s="10">
        <f>IF(G51=0,0,(B51+C51+D51)/G51)</f>
        <v/>
      </c>
    </row>
    <row r="53">
      <c r="A53" s="11" t="inlineStr">
        <is>
          <t>Open % counts Open + Proposal + Needs testing (columns B:D).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0" customWidth="1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Meaning</t>
        </is>
      </c>
    </row>
    <row r="2">
      <c r="A2" s="12" t="inlineStr">
        <is>
          <t>Priority</t>
        </is>
      </c>
      <c r="B2" s="13" t="inlineStr">
        <is>
          <t>P1</t>
        </is>
      </c>
      <c r="C2" s="13" t="inlineStr">
        <is>
          <t>Must: blocks correctness/release, or flagged important/!!! in the original list</t>
        </is>
      </c>
    </row>
    <row r="3">
      <c r="A3" s="12" t="inlineStr"/>
      <c r="B3" s="13" t="inlineStr">
        <is>
          <t>P2</t>
        </is>
      </c>
      <c r="C3" s="13" t="inlineStr">
        <is>
          <t>Should: core to the mod's direction</t>
        </is>
      </c>
    </row>
    <row r="4">
      <c r="A4" s="12" t="inlineStr"/>
      <c r="B4" s="13" t="inlineStr">
        <is>
          <t>P3</t>
        </is>
      </c>
      <c r="C4" s="13" t="inlineStr">
        <is>
          <t>Could: nice to have, minor, or marked low priority</t>
        </is>
      </c>
    </row>
    <row r="5">
      <c r="A5" s="12" t="inlineStr"/>
      <c r="B5" s="13" t="inlineStr">
        <is>
          <t>P4</t>
        </is>
      </c>
      <c r="C5" s="13" t="inlineStr">
        <is>
          <t>Won't now / wishlist: marked luxury or low priority</t>
        </is>
      </c>
    </row>
    <row r="6">
      <c r="A6" s="12" t="inlineStr">
        <is>
          <t>Type</t>
        </is>
      </c>
      <c r="B6" s="13" t="inlineStr">
        <is>
          <t>Bug</t>
        </is>
      </c>
      <c r="C6" s="13" t="inlineStr">
        <is>
          <t>Behaves wrong vs. intended design</t>
        </is>
      </c>
    </row>
    <row r="7">
      <c r="A7" s="12" t="inlineStr"/>
      <c r="B7" s="13" t="inlineStr">
        <is>
          <t>Feature</t>
        </is>
      </c>
      <c r="C7" s="13" t="inlineStr">
        <is>
          <t>New mechanic, action, or behavior</t>
        </is>
      </c>
    </row>
    <row r="8">
      <c r="A8" s="12" t="inlineStr"/>
      <c r="B8" s="13" t="inlineStr">
        <is>
          <t>Balance</t>
        </is>
      </c>
      <c r="C8" s="13" t="inlineStr">
        <is>
          <t>Tuning numbers/curves of existing mechanics</t>
        </is>
      </c>
    </row>
    <row r="9">
      <c r="A9" s="12" t="inlineStr"/>
      <c r="B9" s="13" t="inlineStr">
        <is>
          <t>UX</t>
        </is>
      </c>
      <c r="C9" s="13" t="inlineStr">
        <is>
          <t>Information display / interaction clarity</t>
        </is>
      </c>
    </row>
    <row r="10">
      <c r="A10" s="12" t="inlineStr"/>
      <c r="B10" s="13" t="inlineStr">
        <is>
          <t>Text</t>
        </is>
      </c>
      <c r="C10" s="13" t="inlineStr">
        <is>
          <t>Description/hint wording only</t>
        </is>
      </c>
    </row>
    <row r="11">
      <c r="A11" s="12" t="inlineStr"/>
      <c r="B11" s="13" t="inlineStr">
        <is>
          <t>Investigation</t>
        </is>
      </c>
      <c r="C11" s="13" t="inlineStr">
        <is>
          <t>Unknown cause or open question; outcome is a finding</t>
        </is>
      </c>
    </row>
    <row r="12">
      <c r="A12" s="12" t="inlineStr"/>
      <c r="B12" s="13" t="inlineStr">
        <is>
          <t>QA</t>
        </is>
      </c>
      <c r="C12" s="13" t="inlineStr">
        <is>
          <t>Verify an existing system still works</t>
        </is>
      </c>
    </row>
    <row r="13">
      <c r="A13" s="12" t="inlineStr"/>
      <c r="B13" s="13" t="inlineStr">
        <is>
          <t>Refactor</t>
        </is>
      </c>
      <c r="C13" s="13" t="inlineStr">
        <is>
          <t>Code structure, no intended gameplay change</t>
        </is>
      </c>
    </row>
    <row r="14">
      <c r="A14" s="12" t="inlineStr"/>
      <c r="B14" s="13" t="inlineStr">
        <is>
          <t>Content</t>
        </is>
      </c>
      <c r="C14" s="13" t="inlineStr">
        <is>
          <t>Adding/removing/renaming presets (components, calibers)</t>
        </is>
      </c>
    </row>
    <row r="15">
      <c r="A15" s="12" t="inlineStr"/>
      <c r="B15" s="13" t="inlineStr">
        <is>
          <t>Art/Content</t>
        </is>
      </c>
      <c r="C15" s="13" t="inlineStr">
        <is>
          <t>Icons, models</t>
        </is>
      </c>
    </row>
    <row r="16">
      <c r="A16" s="12" t="inlineStr"/>
      <c r="B16" s="13" t="inlineStr">
        <is>
          <t>Tooling/Docs</t>
        </is>
      </c>
      <c r="C16" s="13" t="inlineStr">
        <is>
          <t>Spreadsheets, debug overlays, internal docs</t>
        </is>
      </c>
    </row>
    <row r="17">
      <c r="A17" s="12" t="inlineStr">
        <is>
          <t>Status</t>
        </is>
      </c>
      <c r="B17" s="13" t="inlineStr">
        <is>
          <t>Open</t>
        </is>
      </c>
      <c r="C17" s="13" t="inlineStr">
        <is>
          <t>Not started / in progress</t>
        </is>
      </c>
    </row>
    <row r="18">
      <c r="A18" s="12" t="inlineStr"/>
      <c r="B18" s="13" t="inlineStr">
        <is>
          <t>Proposal</t>
        </is>
      </c>
      <c r="C18" s="13" t="inlineStr">
        <is>
          <t>Idea marked '?' in the original; needs a design decision first</t>
        </is>
      </c>
    </row>
    <row r="19">
      <c r="A19" s="12" t="inlineStr"/>
      <c r="B19" s="13" t="inlineStr">
        <is>
          <t>Needs testing</t>
        </is>
      </c>
      <c r="C19" s="13" t="inlineStr">
        <is>
          <t>Implemented but flagged for more testing</t>
        </is>
      </c>
    </row>
    <row r="20">
      <c r="A20" s="12" t="inlineStr"/>
      <c r="B20" s="13" t="inlineStr">
        <is>
          <t>Disabled</t>
        </is>
      </c>
      <c r="C20" s="13" t="inlineStr">
        <is>
          <t>Implemented but turned off</t>
        </is>
      </c>
    </row>
    <row r="21">
      <c r="A21" s="12" t="inlineStr"/>
      <c r="B21" s="13" t="inlineStr">
        <is>
          <t>Done</t>
        </is>
      </c>
      <c r="C21" s="13" t="inlineStr">
        <is>
          <t>Checked in the original list</t>
        </is>
      </c>
    </row>
    <row r="22">
      <c r="A22" s="12" t="inlineStr">
        <is>
          <t>Effort</t>
        </is>
      </c>
      <c r="B22" s="14" t="inlineStr">
        <is>
          <t>XS-XL</t>
        </is>
      </c>
      <c r="C22" s="13" t="inlineStr">
        <is>
          <t>Yellow cells: left blank for you to fill</t>
        </is>
      </c>
    </row>
    <row r="23">
      <c r="A23" s="12" t="inlineStr">
        <is>
          <t>Parent</t>
        </is>
      </c>
      <c r="B23" s="13" t="inlineStr">
        <is>
          <t>T-xxx</t>
        </is>
      </c>
      <c r="C23" s="13" t="inlineStr">
        <is>
          <t>Sub-task of that ID (indented with ↳ in Task)</t>
        </is>
      </c>
    </row>
    <row r="24">
      <c r="A24" s="12" t="inlineStr">
        <is>
          <t>Note</t>
        </is>
      </c>
      <c r="B24" s="13" t="inlineStr"/>
      <c r="C24" s="13" t="inlineStr">
        <is>
          <t>Priority, Type and System were assigned by Claude from the wording; treat as a first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2026-10-02T01:04:38Z</dcterms:created>
  <dcterms:modified xsi:type="dcterms:W3CDTF">2026-10-02T01:04:38Z</dcterms:modified>
</cp:coreProperties>
</file>